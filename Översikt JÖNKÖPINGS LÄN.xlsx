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45793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45793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45793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45793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45793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45793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45793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45793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45793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45793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45793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45793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45793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45793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45793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45793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45793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45793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45793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45793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45793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45793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45793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45793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45793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45793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45793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45793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45793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45793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45793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45793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45793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45793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45793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45793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45793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45793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45793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45793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45793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45793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45793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45793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45793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45793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45793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45793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45793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45793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45793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45793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45793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45793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45793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45793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45793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45793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45793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45793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45793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45793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45793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45793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45793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45793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45793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45793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45793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45793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45793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45793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45793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45793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45793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45793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45793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45793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45793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45793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45793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45793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45793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45793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45793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45793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45793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45793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45793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45793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45793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45793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45793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45793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45793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45793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45793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45793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45793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45793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45793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45793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45793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45793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45793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45793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45793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45793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45793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51176-2024</t>
        </is>
      </c>
      <c r="B130" s="1" t="n">
        <v>45603</v>
      </c>
      <c r="C130" s="1" t="n">
        <v>45793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1</v>
      </c>
      <c r="I130" t="n">
        <v>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Ask
Underviol
Grönvit nattviol</t>
        </is>
      </c>
      <c r="S130">
        <f>HYPERLINK("https://klasma.github.io/Logging_0680/artfynd/A 51176-2024 artfynd.xlsx", "A 51176-2024")</f>
        <v/>
      </c>
      <c r="T130">
        <f>HYPERLINK("https://klasma.github.io/Logging_0680/kartor/A 51176-2024 karta.png", "A 51176-2024")</f>
        <v/>
      </c>
      <c r="V130">
        <f>HYPERLINK("https://klasma.github.io/Logging_0680/klagomål/A 51176-2024 FSC-klagomål.docx", "A 51176-2024")</f>
        <v/>
      </c>
      <c r="W130">
        <f>HYPERLINK("https://klasma.github.io/Logging_0680/klagomålsmail/A 51176-2024 FSC-klagomål mail.docx", "A 51176-2024")</f>
        <v/>
      </c>
      <c r="X130">
        <f>HYPERLINK("https://klasma.github.io/Logging_0680/tillsyn/A 51176-2024 tillsynsbegäran.docx", "A 51176-2024")</f>
        <v/>
      </c>
      <c r="Y130">
        <f>HYPERLINK("https://klasma.github.io/Logging_0680/tillsynsmail/A 51176-2024 tillsynsbegäran mail.docx", "A 51176-2024")</f>
        <v/>
      </c>
    </row>
    <row r="131" ht="15" customHeight="1">
      <c r="A131" t="inlineStr">
        <is>
          <t>A 51492-2024</t>
        </is>
      </c>
      <c r="B131" s="1" t="n">
        <v>45604</v>
      </c>
      <c r="C131" s="1" t="n">
        <v>45793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Rostfläck
Vanlig padda
Grönvit nattviol</t>
        </is>
      </c>
      <c r="S131">
        <f>HYPERLINK("https://klasma.github.io/Logging_0680/artfynd/A 51492-2024 artfynd.xlsx", "A 51492-2024")</f>
        <v/>
      </c>
      <c r="T131">
        <f>HYPERLINK("https://klasma.github.io/Logging_0680/kartor/A 51492-2024 karta.png", "A 51492-2024")</f>
        <v/>
      </c>
      <c r="V131">
        <f>HYPERLINK("https://klasma.github.io/Logging_0680/klagomål/A 51492-2024 FSC-klagomål.docx", "A 51492-2024")</f>
        <v/>
      </c>
      <c r="W131">
        <f>HYPERLINK("https://klasma.github.io/Logging_0680/klagomålsmail/A 51492-2024 FSC-klagomål mail.docx", "A 51492-2024")</f>
        <v/>
      </c>
      <c r="X131">
        <f>HYPERLINK("https://klasma.github.io/Logging_0680/tillsyn/A 51492-2024 tillsynsbegäran.docx", "A 51492-2024")</f>
        <v/>
      </c>
      <c r="Y131">
        <f>HYPERLINK("https://klasma.github.io/Logging_0680/tillsynsmail/A 51492-2024 tillsynsbegäran mail.docx", "A 51492-2024")</f>
        <v/>
      </c>
    </row>
    <row r="132" ht="15" customHeight="1">
      <c r="A132" t="inlineStr">
        <is>
          <t>A 19430-2025</t>
        </is>
      </c>
      <c r="B132" s="1" t="n">
        <v>45769</v>
      </c>
      <c r="C132" s="1" t="n">
        <v>45793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3.5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Lungrot
Vårstarr
Vätteros</t>
        </is>
      </c>
      <c r="S132">
        <f>HYPERLINK("https://klasma.github.io/Logging_060685/artfynd/A 19430-2025 artfynd.xlsx", "A 19430-2025")</f>
        <v/>
      </c>
      <c r="T132">
        <f>HYPERLINK("https://klasma.github.io/Logging_060685/kartor/A 19430-2025 karta.png", "A 19430-2025")</f>
        <v/>
      </c>
      <c r="V132">
        <f>HYPERLINK("https://klasma.github.io/Logging_060685/klagomål/A 19430-2025 FSC-klagomål.docx", "A 19430-2025")</f>
        <v/>
      </c>
      <c r="W132">
        <f>HYPERLINK("https://klasma.github.io/Logging_060685/klagomålsmail/A 19430-2025 FSC-klagomål mail.docx", "A 19430-2025")</f>
        <v/>
      </c>
      <c r="X132">
        <f>HYPERLINK("https://klasma.github.io/Logging_060685/tillsyn/A 19430-2025 tillsynsbegäran.docx", "A 19430-2025")</f>
        <v/>
      </c>
      <c r="Y132">
        <f>HYPERLINK("https://klasma.github.io/Logging_060685/tillsynsmail/A 19430-2025 tillsynsbegäran mail.docx", "A 19430-2025")</f>
        <v/>
      </c>
    </row>
    <row r="133" ht="15" customHeight="1">
      <c r="A133" t="inlineStr">
        <is>
          <t>A 19576-2025</t>
        </is>
      </c>
      <c r="B133" s="1" t="n">
        <v>45770</v>
      </c>
      <c r="C133" s="1" t="n">
        <v>45793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Loppstarr
Mörk dunört
Revlummer</t>
        </is>
      </c>
      <c r="S133">
        <f>HYPERLINK("https://klasma.github.io/Logging_060662/artfynd/A 19576-2025 artfynd.xlsx", "A 19576-2025")</f>
        <v/>
      </c>
      <c r="T133">
        <f>HYPERLINK("https://klasma.github.io/Logging_060662/kartor/A 19576-2025 karta.png", "A 19576-2025")</f>
        <v/>
      </c>
      <c r="V133">
        <f>HYPERLINK("https://klasma.github.io/Logging_060662/klagomål/A 19576-2025 FSC-klagomål.docx", "A 19576-2025")</f>
        <v/>
      </c>
      <c r="W133">
        <f>HYPERLINK("https://klasma.github.io/Logging_060662/klagomålsmail/A 19576-2025 FSC-klagomål mail.docx", "A 19576-2025")</f>
        <v/>
      </c>
      <c r="X133">
        <f>HYPERLINK("https://klasma.github.io/Logging_060662/tillsyn/A 19576-2025 tillsynsbegäran.docx", "A 19576-2025")</f>
        <v/>
      </c>
      <c r="Y133">
        <f>HYPERLINK("https://klasma.github.io/Logging_060662/tillsynsmail/A 19576-2025 tillsynsbegäran mail.docx", "A 19576-2025")</f>
        <v/>
      </c>
    </row>
    <row r="134" ht="15" customHeight="1">
      <c r="A134" t="inlineStr">
        <is>
          <t>A 18024-2019</t>
        </is>
      </c>
      <c r="B134" s="1" t="n">
        <v>43556</v>
      </c>
      <c r="C134" s="1" t="n">
        <v>45793</v>
      </c>
      <c r="D134" t="inlineStr">
        <is>
          <t>JÖNKÖPINGS LÄN</t>
        </is>
      </c>
      <c r="E134" t="inlineStr">
        <is>
          <t>VETLANDA</t>
        </is>
      </c>
      <c r="G134" t="n">
        <v>4.7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Grönpyrola
Tibast</t>
        </is>
      </c>
      <c r="S134">
        <f>HYPERLINK("https://klasma.github.io/Logging_0685/artfynd/A 18024-2019 artfynd.xlsx", "A 18024-2019")</f>
        <v/>
      </c>
      <c r="T134">
        <f>HYPERLINK("https://klasma.github.io/Logging_0685/kartor/A 18024-2019 karta.png", "A 18024-2019")</f>
        <v/>
      </c>
      <c r="V134">
        <f>HYPERLINK("https://klasma.github.io/Logging_0685/klagomål/A 18024-2019 FSC-klagomål.docx", "A 18024-2019")</f>
        <v/>
      </c>
      <c r="W134">
        <f>HYPERLINK("https://klasma.github.io/Logging_0685/klagomålsmail/A 18024-2019 FSC-klagomål mail.docx", "A 18024-2019")</f>
        <v/>
      </c>
      <c r="X134">
        <f>HYPERLINK("https://klasma.github.io/Logging_0685/tillsyn/A 18024-2019 tillsynsbegäran.docx", "A 18024-2019")</f>
        <v/>
      </c>
      <c r="Y134">
        <f>HYPERLINK("https://klasma.github.io/Logging_0685/tillsynsmail/A 18024-2019 tillsynsbegäran mail.docx", "A 18024-2019")</f>
        <v/>
      </c>
    </row>
    <row r="135" ht="15" customHeight="1">
      <c r="A135" t="inlineStr">
        <is>
          <t>A 25895-2019</t>
        </is>
      </c>
      <c r="B135" s="1" t="n">
        <v>43605</v>
      </c>
      <c r="C135" s="1" t="n">
        <v>45793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6.7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Vedticka</t>
        </is>
      </c>
      <c r="S135">
        <f>HYPERLINK("https://klasma.github.io/Logging_0685/artfynd/A 25895-2019 artfynd.xlsx", "A 25895-2019")</f>
        <v/>
      </c>
      <c r="T135">
        <f>HYPERLINK("https://klasma.github.io/Logging_0685/kartor/A 25895-2019 karta.png", "A 25895-2019")</f>
        <v/>
      </c>
      <c r="U135">
        <f>HYPERLINK("https://klasma.github.io/Logging_0685/knärot/A 25895-2019 karta knärot.png", "A 25895-2019")</f>
        <v/>
      </c>
      <c r="V135">
        <f>HYPERLINK("https://klasma.github.io/Logging_0685/klagomål/A 25895-2019 FSC-klagomål.docx", "A 25895-2019")</f>
        <v/>
      </c>
      <c r="W135">
        <f>HYPERLINK("https://klasma.github.io/Logging_0685/klagomålsmail/A 25895-2019 FSC-klagomål mail.docx", "A 25895-2019")</f>
        <v/>
      </c>
      <c r="X135">
        <f>HYPERLINK("https://klasma.github.io/Logging_0685/tillsyn/A 25895-2019 tillsynsbegäran.docx", "A 25895-2019")</f>
        <v/>
      </c>
      <c r="Y135">
        <f>HYPERLINK("https://klasma.github.io/Logging_0685/tillsynsmail/A 25895-2019 tillsynsbegäran mail.docx", "A 25895-2019")</f>
        <v/>
      </c>
    </row>
    <row r="136" ht="15" customHeight="1">
      <c r="A136" t="inlineStr">
        <is>
          <t>A 26553-2019</t>
        </is>
      </c>
      <c r="B136" s="1" t="n">
        <v>43612</v>
      </c>
      <c r="C136" s="1" t="n">
        <v>45793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26553-2019 artfynd.xlsx", "A 26553-2019")</f>
        <v/>
      </c>
      <c r="T136">
        <f>HYPERLINK("https://klasma.github.io/Logging_0680/kartor/A 26553-2019 karta.png", "A 26553-2019")</f>
        <v/>
      </c>
      <c r="U136">
        <f>HYPERLINK("https://klasma.github.io/Logging_0680/knärot/A 26553-2019 karta knärot.png", "A 26553-2019")</f>
        <v/>
      </c>
      <c r="V136">
        <f>HYPERLINK("https://klasma.github.io/Logging_0680/klagomål/A 26553-2019 FSC-klagomål.docx", "A 26553-2019")</f>
        <v/>
      </c>
      <c r="W136">
        <f>HYPERLINK("https://klasma.github.io/Logging_0680/klagomålsmail/A 26553-2019 FSC-klagomål mail.docx", "A 26553-2019")</f>
        <v/>
      </c>
      <c r="X136">
        <f>HYPERLINK("https://klasma.github.io/Logging_0680/tillsyn/A 26553-2019 tillsynsbegäran.docx", "A 26553-2019")</f>
        <v/>
      </c>
      <c r="Y136">
        <f>HYPERLINK("https://klasma.github.io/Logging_0680/tillsynsmail/A 26553-2019 tillsynsbegäran mail.docx", "A 26553-2019")</f>
        <v/>
      </c>
    </row>
    <row r="137" ht="15" customHeight="1">
      <c r="A137" t="inlineStr">
        <is>
          <t>A 29578-2019</t>
        </is>
      </c>
      <c r="B137" s="1" t="n">
        <v>43627</v>
      </c>
      <c r="C137" s="1" t="n">
        <v>45793</v>
      </c>
      <c r="D137" t="inlineStr">
        <is>
          <t>JÖNKÖPINGS LÄN</t>
        </is>
      </c>
      <c r="E137" t="inlineStr">
        <is>
          <t>VETLANDA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Trollfibbla
Gullgröppa</t>
        </is>
      </c>
      <c r="S137">
        <f>HYPERLINK("https://klasma.github.io/Logging_0685/artfynd/A 29578-2019 artfynd.xlsx", "A 29578-2019")</f>
        <v/>
      </c>
      <c r="T137">
        <f>HYPERLINK("https://klasma.github.io/Logging_0685/kartor/A 29578-2019 karta.png", "A 29578-2019")</f>
        <v/>
      </c>
      <c r="U137">
        <f>HYPERLINK("https://klasma.github.io/Logging_0685/knärot/A 29578-2019 karta knärot.png", "A 29578-2019")</f>
        <v/>
      </c>
      <c r="V137">
        <f>HYPERLINK("https://klasma.github.io/Logging_0685/klagomål/A 29578-2019 FSC-klagomål.docx", "A 29578-2019")</f>
        <v/>
      </c>
      <c r="W137">
        <f>HYPERLINK("https://klasma.github.io/Logging_0685/klagomålsmail/A 29578-2019 FSC-klagomål mail.docx", "A 29578-2019")</f>
        <v/>
      </c>
      <c r="X137">
        <f>HYPERLINK("https://klasma.github.io/Logging_0685/tillsyn/A 29578-2019 tillsynsbegäran.docx", "A 29578-2019")</f>
        <v/>
      </c>
      <c r="Y137">
        <f>HYPERLINK("https://klasma.github.io/Logging_0685/tillsynsmail/A 29578-2019 tillsynsbegäran mail.docx", "A 29578-2019")</f>
        <v/>
      </c>
    </row>
    <row r="138" ht="15" customHeight="1">
      <c r="A138" t="inlineStr">
        <is>
          <t>A 32503-2019</t>
        </is>
      </c>
      <c r="B138" s="1" t="n">
        <v>43644</v>
      </c>
      <c r="C138" s="1" t="n">
        <v>45793</v>
      </c>
      <c r="D138" t="inlineStr">
        <is>
          <t>JÖNKÖPINGS LÄN</t>
        </is>
      </c>
      <c r="E138" t="inlineStr">
        <is>
          <t>VETLANDA</t>
        </is>
      </c>
      <c r="G138" t="n">
        <v>1.7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Fjällig taggsvamp s.str.
Skarp dropptaggsvamp</t>
        </is>
      </c>
      <c r="S138">
        <f>HYPERLINK("https://klasma.github.io/Logging_0685/artfynd/A 32503-2019 artfynd.xlsx", "A 32503-2019")</f>
        <v/>
      </c>
      <c r="T138">
        <f>HYPERLINK("https://klasma.github.io/Logging_0685/kartor/A 32503-2019 karta.png", "A 32503-2019")</f>
        <v/>
      </c>
      <c r="V138">
        <f>HYPERLINK("https://klasma.github.io/Logging_0685/klagomål/A 32503-2019 FSC-klagomål.docx", "A 32503-2019")</f>
        <v/>
      </c>
      <c r="W138">
        <f>HYPERLINK("https://klasma.github.io/Logging_0685/klagomålsmail/A 32503-2019 FSC-klagomål mail.docx", "A 32503-2019")</f>
        <v/>
      </c>
      <c r="X138">
        <f>HYPERLINK("https://klasma.github.io/Logging_0685/tillsyn/A 32503-2019 tillsynsbegäran.docx", "A 32503-2019")</f>
        <v/>
      </c>
      <c r="Y138">
        <f>HYPERLINK("https://klasma.github.io/Logging_0685/tillsynsmail/A 32503-2019 tillsynsbegäran mail.docx", "A 32503-2019")</f>
        <v/>
      </c>
    </row>
    <row r="139" ht="15" customHeight="1">
      <c r="A139" t="inlineStr">
        <is>
          <t>A 36871-2019</t>
        </is>
      </c>
      <c r="B139" s="1" t="n">
        <v>43675</v>
      </c>
      <c r="C139" s="1" t="n">
        <v>45793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36871-2019 artfynd.xlsx", "A 36871-2019")</f>
        <v/>
      </c>
      <c r="T139">
        <f>HYPERLINK("https://klasma.github.io/Logging_0680/kartor/A 36871-2019 karta.png", "A 36871-2019")</f>
        <v/>
      </c>
      <c r="U139">
        <f>HYPERLINK("https://klasma.github.io/Logging_0680/knärot/A 36871-2019 karta knärot.png", "A 36871-2019")</f>
        <v/>
      </c>
      <c r="V139">
        <f>HYPERLINK("https://klasma.github.io/Logging_0680/klagomål/A 36871-2019 FSC-klagomål.docx", "A 36871-2019")</f>
        <v/>
      </c>
      <c r="W139">
        <f>HYPERLINK("https://klasma.github.io/Logging_0680/klagomålsmail/A 36871-2019 FSC-klagomål mail.docx", "A 36871-2019")</f>
        <v/>
      </c>
      <c r="X139">
        <f>HYPERLINK("https://klasma.github.io/Logging_0680/tillsyn/A 36871-2019 tillsynsbegäran.docx", "A 36871-2019")</f>
        <v/>
      </c>
      <c r="Y139">
        <f>HYPERLINK("https://klasma.github.io/Logging_0680/tillsynsmail/A 36871-2019 tillsynsbegäran mail.docx", "A 36871-2019")</f>
        <v/>
      </c>
    </row>
    <row r="140" ht="15" customHeight="1">
      <c r="A140" t="inlineStr">
        <is>
          <t>A 36920-2019</t>
        </is>
      </c>
      <c r="B140" s="1" t="n">
        <v>43675</v>
      </c>
      <c r="C140" s="1" t="n">
        <v>45793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6.2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Björksplintborre
Vanlig padda</t>
        </is>
      </c>
      <c r="S140">
        <f>HYPERLINK("https://klasma.github.io/Logging_0684/artfynd/A 36920-2019 artfynd.xlsx", "A 36920-2019")</f>
        <v/>
      </c>
      <c r="T140">
        <f>HYPERLINK("https://klasma.github.io/Logging_0684/kartor/A 36920-2019 karta.png", "A 36920-2019")</f>
        <v/>
      </c>
      <c r="V140">
        <f>HYPERLINK("https://klasma.github.io/Logging_0684/klagomål/A 36920-2019 FSC-klagomål.docx", "A 36920-2019")</f>
        <v/>
      </c>
      <c r="W140">
        <f>HYPERLINK("https://klasma.github.io/Logging_0684/klagomålsmail/A 36920-2019 FSC-klagomål mail.docx", "A 36920-2019")</f>
        <v/>
      </c>
      <c r="X140">
        <f>HYPERLINK("https://klasma.github.io/Logging_0684/tillsyn/A 36920-2019 tillsynsbegäran.docx", "A 36920-2019")</f>
        <v/>
      </c>
      <c r="Y140">
        <f>HYPERLINK("https://klasma.github.io/Logging_0684/tillsynsmail/A 36920-2019 tillsynsbegäran mail.docx", "A 36920-2019")</f>
        <v/>
      </c>
    </row>
    <row r="141" ht="15" customHeight="1">
      <c r="A141" t="inlineStr">
        <is>
          <t>A 45348-2019</t>
        </is>
      </c>
      <c r="B141" s="1" t="n">
        <v>43714</v>
      </c>
      <c r="C141" s="1" t="n">
        <v>45793</v>
      </c>
      <c r="D141" t="inlineStr">
        <is>
          <t>JÖNKÖPINGS LÄN</t>
        </is>
      </c>
      <c r="E141" t="inlineStr">
        <is>
          <t>VETLANDA</t>
        </is>
      </c>
      <c r="G141" t="n">
        <v>12.2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Ask
Vanlig padda</t>
        </is>
      </c>
      <c r="S141">
        <f>HYPERLINK("https://klasma.github.io/Logging_0685/artfynd/A 45348-2019 artfynd.xlsx", "A 45348-2019")</f>
        <v/>
      </c>
      <c r="T141">
        <f>HYPERLINK("https://klasma.github.io/Logging_0685/kartor/A 45348-2019 karta.png", "A 45348-2019")</f>
        <v/>
      </c>
      <c r="V141">
        <f>HYPERLINK("https://klasma.github.io/Logging_0685/klagomål/A 45348-2019 FSC-klagomål.docx", "A 45348-2019")</f>
        <v/>
      </c>
      <c r="W141">
        <f>HYPERLINK("https://klasma.github.io/Logging_0685/klagomålsmail/A 45348-2019 FSC-klagomål mail.docx", "A 45348-2019")</f>
        <v/>
      </c>
      <c r="X141">
        <f>HYPERLINK("https://klasma.github.io/Logging_0685/tillsyn/A 45348-2019 tillsynsbegäran.docx", "A 45348-2019")</f>
        <v/>
      </c>
      <c r="Y141">
        <f>HYPERLINK("https://klasma.github.io/Logging_0685/tillsynsmail/A 45348-2019 tillsynsbegäran mail.docx", "A 45348-2019")</f>
        <v/>
      </c>
    </row>
    <row r="142" ht="15" customHeight="1">
      <c r="A142" t="inlineStr">
        <is>
          <t>A 47251-2019</t>
        </is>
      </c>
      <c r="B142" s="1" t="n">
        <v>43721</v>
      </c>
      <c r="C142" s="1" t="n">
        <v>45793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1.4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Dropptaggsvamp</t>
        </is>
      </c>
      <c r="S142">
        <f>HYPERLINK("https://klasma.github.io/Logging_0685/artfynd/A 47251-2019 artfynd.xlsx", "A 47251-2019")</f>
        <v/>
      </c>
      <c r="T142">
        <f>HYPERLINK("https://klasma.github.io/Logging_0685/kartor/A 47251-2019 karta.png", "A 47251-2019")</f>
        <v/>
      </c>
      <c r="U142">
        <f>HYPERLINK("https://klasma.github.io/Logging_0685/knärot/A 47251-2019 karta knärot.png", "A 47251-2019")</f>
        <v/>
      </c>
      <c r="V142">
        <f>HYPERLINK("https://klasma.github.io/Logging_0685/klagomål/A 47251-2019 FSC-klagomål.docx", "A 47251-2019")</f>
        <v/>
      </c>
      <c r="W142">
        <f>HYPERLINK("https://klasma.github.io/Logging_0685/klagomålsmail/A 47251-2019 FSC-klagomål mail.docx", "A 47251-2019")</f>
        <v/>
      </c>
      <c r="X142">
        <f>HYPERLINK("https://klasma.github.io/Logging_0685/tillsyn/A 47251-2019 tillsynsbegäran.docx", "A 47251-2019")</f>
        <v/>
      </c>
      <c r="Y142">
        <f>HYPERLINK("https://klasma.github.io/Logging_0685/tillsynsmail/A 47251-2019 tillsynsbegäran mail.docx", "A 47251-2019")</f>
        <v/>
      </c>
    </row>
    <row r="143" ht="15" customHeight="1">
      <c r="A143" t="inlineStr">
        <is>
          <t>A 48284-2019</t>
        </is>
      </c>
      <c r="B143" s="1" t="n">
        <v>43726</v>
      </c>
      <c r="C143" s="1" t="n">
        <v>45793</v>
      </c>
      <c r="D143" t="inlineStr">
        <is>
          <t>JÖNKÖPINGS LÄN</t>
        </is>
      </c>
      <c r="E143" t="inlineStr">
        <is>
          <t>NÄSSJÖ</t>
        </is>
      </c>
      <c r="G143" t="n">
        <v>5.5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Nordfladdermus
Dvärgpipistrell</t>
        </is>
      </c>
      <c r="S143">
        <f>HYPERLINK("https://klasma.github.io/Logging_0682/artfynd/A 48284-2019 artfynd.xlsx", "A 48284-2019")</f>
        <v/>
      </c>
      <c r="T143">
        <f>HYPERLINK("https://klasma.github.io/Logging_0682/kartor/A 48284-2019 karta.png", "A 48284-2019")</f>
        <v/>
      </c>
      <c r="V143">
        <f>HYPERLINK("https://klasma.github.io/Logging_0682/klagomål/A 48284-2019 FSC-klagomål.docx", "A 48284-2019")</f>
        <v/>
      </c>
      <c r="W143">
        <f>HYPERLINK("https://klasma.github.io/Logging_0682/klagomålsmail/A 48284-2019 FSC-klagomål mail.docx", "A 48284-2019")</f>
        <v/>
      </c>
      <c r="X143">
        <f>HYPERLINK("https://klasma.github.io/Logging_0682/tillsyn/A 48284-2019 tillsynsbegäran.docx", "A 48284-2019")</f>
        <v/>
      </c>
      <c r="Y143">
        <f>HYPERLINK("https://klasma.github.io/Logging_0682/tillsynsmail/A 48284-2019 tillsynsbegäran mail.docx", "A 48284-2019")</f>
        <v/>
      </c>
    </row>
    <row r="144" ht="15" customHeight="1">
      <c r="A144" t="inlineStr">
        <is>
          <t>A 48327-2019</t>
        </is>
      </c>
      <c r="B144" s="1" t="n">
        <v>43726</v>
      </c>
      <c r="C144" s="1" t="n">
        <v>45793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Björksplintborre</t>
        </is>
      </c>
      <c r="S144">
        <f>HYPERLINK("https://klasma.github.io/Logging_0684/artfynd/A 48327-2019 artfynd.xlsx", "A 48327-2019")</f>
        <v/>
      </c>
      <c r="T144">
        <f>HYPERLINK("https://klasma.github.io/Logging_0684/kartor/A 48327-2019 karta.png", "A 48327-2019")</f>
        <v/>
      </c>
      <c r="V144">
        <f>HYPERLINK("https://klasma.github.io/Logging_0684/klagomål/A 48327-2019 FSC-klagomål.docx", "A 48327-2019")</f>
        <v/>
      </c>
      <c r="W144">
        <f>HYPERLINK("https://klasma.github.io/Logging_0684/klagomålsmail/A 48327-2019 FSC-klagomål mail.docx", "A 48327-2019")</f>
        <v/>
      </c>
      <c r="X144">
        <f>HYPERLINK("https://klasma.github.io/Logging_0684/tillsyn/A 48327-2019 tillsynsbegäran.docx", "A 48327-2019")</f>
        <v/>
      </c>
      <c r="Y144">
        <f>HYPERLINK("https://klasma.github.io/Logging_0684/tillsynsmail/A 48327-2019 tillsynsbegäran mail.docx", "A 48327-2019")</f>
        <v/>
      </c>
    </row>
    <row r="145" ht="15" customHeight="1">
      <c r="A145" t="inlineStr">
        <is>
          <t>A 62662-2019</t>
        </is>
      </c>
      <c r="B145" s="1" t="n">
        <v>43789</v>
      </c>
      <c r="C145" s="1" t="n">
        <v>45793</v>
      </c>
      <c r="D145" t="inlineStr">
        <is>
          <t>JÖNKÖPINGS LÄN</t>
        </is>
      </c>
      <c r="E145" t="inlineStr">
        <is>
          <t>EKSJÖ</t>
        </is>
      </c>
      <c r="F145" t="inlineStr">
        <is>
          <t>Kyrkan</t>
        </is>
      </c>
      <c r="G145" t="n">
        <v>0.9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Brunlångöra
Nordfladdermus</t>
        </is>
      </c>
      <c r="S145">
        <f>HYPERLINK("https://klasma.github.io/Logging_0686/artfynd/A 62662-2019 artfynd.xlsx", "A 62662-2019")</f>
        <v/>
      </c>
      <c r="T145">
        <f>HYPERLINK("https://klasma.github.io/Logging_0686/kartor/A 62662-2019 karta.png", "A 62662-2019")</f>
        <v/>
      </c>
      <c r="V145">
        <f>HYPERLINK("https://klasma.github.io/Logging_0686/klagomål/A 62662-2019 FSC-klagomål.docx", "A 62662-2019")</f>
        <v/>
      </c>
      <c r="W145">
        <f>HYPERLINK("https://klasma.github.io/Logging_0686/klagomålsmail/A 62662-2019 FSC-klagomål mail.docx", "A 62662-2019")</f>
        <v/>
      </c>
      <c r="X145">
        <f>HYPERLINK("https://klasma.github.io/Logging_0686/tillsyn/A 62662-2019 tillsynsbegäran.docx", "A 62662-2019")</f>
        <v/>
      </c>
      <c r="Y145">
        <f>HYPERLINK("https://klasma.github.io/Logging_0686/tillsynsmail/A 62662-2019 tillsynsbegäran mail.docx", "A 62662-2019")</f>
        <v/>
      </c>
    </row>
    <row r="146" ht="15" customHeight="1">
      <c r="A146" t="inlineStr">
        <is>
          <t>A 66666-2019</t>
        </is>
      </c>
      <c r="B146" s="1" t="n">
        <v>43809</v>
      </c>
      <c r="C146" s="1" t="n">
        <v>45793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Grönvit nattviol</t>
        </is>
      </c>
      <c r="S146">
        <f>HYPERLINK("https://klasma.github.io/Logging_0680/artfynd/A 66666-2019 artfynd.xlsx", "A 66666-2019")</f>
        <v/>
      </c>
      <c r="T146">
        <f>HYPERLINK("https://klasma.github.io/Logging_0680/kartor/A 66666-2019 karta.png", "A 66666-2019")</f>
        <v/>
      </c>
      <c r="V146">
        <f>HYPERLINK("https://klasma.github.io/Logging_0680/klagomål/A 66666-2019 FSC-klagomål.docx", "A 66666-2019")</f>
        <v/>
      </c>
      <c r="W146">
        <f>HYPERLINK("https://klasma.github.io/Logging_0680/klagomålsmail/A 66666-2019 FSC-klagomål mail.docx", "A 66666-2019")</f>
        <v/>
      </c>
      <c r="X146">
        <f>HYPERLINK("https://klasma.github.io/Logging_0680/tillsyn/A 66666-2019 tillsynsbegäran.docx", "A 66666-2019")</f>
        <v/>
      </c>
      <c r="Y146">
        <f>HYPERLINK("https://klasma.github.io/Logging_0680/tillsynsmail/A 66666-2019 tillsynsbegäran mail.docx", "A 66666-2019")</f>
        <v/>
      </c>
    </row>
    <row r="147" ht="15" customHeight="1">
      <c r="A147" t="inlineStr">
        <is>
          <t>A 16952-2020</t>
        </is>
      </c>
      <c r="B147" s="1" t="n">
        <v>43913</v>
      </c>
      <c r="C147" s="1" t="n">
        <v>45793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Revlummer</t>
        </is>
      </c>
      <c r="S147">
        <f>HYPERLINK("https://klasma.github.io/Logging_0685/artfynd/A 16952-2020 artfynd.xlsx", "A 16952-2020")</f>
        <v/>
      </c>
      <c r="T147">
        <f>HYPERLINK("https://klasma.github.io/Logging_0685/kartor/A 16952-2020 karta.png", "A 16952-2020")</f>
        <v/>
      </c>
      <c r="V147">
        <f>HYPERLINK("https://klasma.github.io/Logging_0685/klagomål/A 16952-2020 FSC-klagomål.docx", "A 16952-2020")</f>
        <v/>
      </c>
      <c r="W147">
        <f>HYPERLINK("https://klasma.github.io/Logging_0685/klagomålsmail/A 16952-2020 FSC-klagomål mail.docx", "A 16952-2020")</f>
        <v/>
      </c>
      <c r="X147">
        <f>HYPERLINK("https://klasma.github.io/Logging_0685/tillsyn/A 16952-2020 tillsynsbegäran.docx", "A 16952-2020")</f>
        <v/>
      </c>
      <c r="Y147">
        <f>HYPERLINK("https://klasma.github.io/Logging_0685/tillsynsmail/A 16952-2020 tillsynsbegäran mail.docx", "A 16952-2020")</f>
        <v/>
      </c>
    </row>
    <row r="148" ht="15" customHeight="1">
      <c r="A148" t="inlineStr">
        <is>
          <t>A 16652-2020</t>
        </is>
      </c>
      <c r="B148" s="1" t="n">
        <v>43920</v>
      </c>
      <c r="C148" s="1" t="n">
        <v>45793</v>
      </c>
      <c r="D148" t="inlineStr">
        <is>
          <t>JÖNKÖPINGS LÄN</t>
        </is>
      </c>
      <c r="E148" t="inlineStr">
        <is>
          <t>JÖNKÖPING</t>
        </is>
      </c>
      <c r="G148" t="n">
        <v>12.2</v>
      </c>
      <c r="H148" t="n">
        <v>0</v>
      </c>
      <c r="I148" t="n">
        <v>0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Blylav
Lunglav</t>
        </is>
      </c>
      <c r="S148">
        <f>HYPERLINK("https://klasma.github.io/Logging_0680/artfynd/A 16652-2020 artfynd.xlsx", "A 16652-2020")</f>
        <v/>
      </c>
      <c r="T148">
        <f>HYPERLINK("https://klasma.github.io/Logging_0680/kartor/A 16652-2020 karta.png", "A 16652-2020")</f>
        <v/>
      </c>
      <c r="V148">
        <f>HYPERLINK("https://klasma.github.io/Logging_0680/klagomål/A 16652-2020 FSC-klagomål.docx", "A 16652-2020")</f>
        <v/>
      </c>
      <c r="W148">
        <f>HYPERLINK("https://klasma.github.io/Logging_0680/klagomålsmail/A 16652-2020 FSC-klagomål mail.docx", "A 16652-2020")</f>
        <v/>
      </c>
      <c r="X148">
        <f>HYPERLINK("https://klasma.github.io/Logging_0680/tillsyn/A 16652-2020 tillsynsbegäran.docx", "A 16652-2020")</f>
        <v/>
      </c>
      <c r="Y148">
        <f>HYPERLINK("https://klasma.github.io/Logging_0680/tillsynsmail/A 16652-2020 tillsynsbegäran mail.docx", "A 16652-2020")</f>
        <v/>
      </c>
    </row>
    <row r="149" ht="15" customHeight="1">
      <c r="A149" t="inlineStr">
        <is>
          <t>A 22662-2020</t>
        </is>
      </c>
      <c r="B149" s="1" t="n">
        <v>43963</v>
      </c>
      <c r="C149" s="1" t="n">
        <v>45793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22662-2020 artfynd.xlsx", "A 22662-2020")</f>
        <v/>
      </c>
      <c r="T149">
        <f>HYPERLINK("https://klasma.github.io/Logging_0684/kartor/A 22662-2020 karta.png", "A 22662-2020")</f>
        <v/>
      </c>
      <c r="V149">
        <f>HYPERLINK("https://klasma.github.io/Logging_0684/klagomål/A 22662-2020 FSC-klagomål.docx", "A 22662-2020")</f>
        <v/>
      </c>
      <c r="W149">
        <f>HYPERLINK("https://klasma.github.io/Logging_0684/klagomålsmail/A 22662-2020 FSC-klagomål mail.docx", "A 22662-2020")</f>
        <v/>
      </c>
      <c r="X149">
        <f>HYPERLINK("https://klasma.github.io/Logging_0684/tillsyn/A 22662-2020 tillsynsbegäran.docx", "A 22662-2020")</f>
        <v/>
      </c>
      <c r="Y149">
        <f>HYPERLINK("https://klasma.github.io/Logging_0684/tillsynsmail/A 22662-2020 tillsynsbegäran mail.docx", "A 22662-2020")</f>
        <v/>
      </c>
    </row>
    <row r="150" ht="15" customHeight="1">
      <c r="A150" t="inlineStr">
        <is>
          <t>A 22660-2020</t>
        </is>
      </c>
      <c r="B150" s="1" t="n">
        <v>43963</v>
      </c>
      <c r="C150" s="1" t="n">
        <v>45793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22660-2020 artfynd.xlsx", "A 22660-2020")</f>
        <v/>
      </c>
      <c r="T150">
        <f>HYPERLINK("https://klasma.github.io/Logging_0684/kartor/A 22660-2020 karta.png", "A 22660-2020")</f>
        <v/>
      </c>
      <c r="V150">
        <f>HYPERLINK("https://klasma.github.io/Logging_0684/klagomål/A 22660-2020 FSC-klagomål.docx", "A 22660-2020")</f>
        <v/>
      </c>
      <c r="W150">
        <f>HYPERLINK("https://klasma.github.io/Logging_0684/klagomålsmail/A 22660-2020 FSC-klagomål mail.docx", "A 22660-2020")</f>
        <v/>
      </c>
      <c r="X150">
        <f>HYPERLINK("https://klasma.github.io/Logging_0684/tillsyn/A 22660-2020 tillsynsbegäran.docx", "A 22660-2020")</f>
        <v/>
      </c>
      <c r="Y150">
        <f>HYPERLINK("https://klasma.github.io/Logging_0684/tillsynsmail/A 22660-2020 tillsynsbegäran mail.docx", "A 22660-2020")</f>
        <v/>
      </c>
    </row>
    <row r="151" ht="15" customHeight="1">
      <c r="A151" t="inlineStr">
        <is>
          <t>A 29939-2020</t>
        </is>
      </c>
      <c r="B151" s="1" t="n">
        <v>44006</v>
      </c>
      <c r="C151" s="1" t="n">
        <v>45793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Backstarr
Sandviol</t>
        </is>
      </c>
      <c r="S151">
        <f>HYPERLINK("https://klasma.github.io/Logging_0685/artfynd/A 29939-2020 artfynd.xlsx", "A 29939-2020")</f>
        <v/>
      </c>
      <c r="T151">
        <f>HYPERLINK("https://klasma.github.io/Logging_0685/kartor/A 29939-2020 karta.png", "A 29939-2020")</f>
        <v/>
      </c>
      <c r="V151">
        <f>HYPERLINK("https://klasma.github.io/Logging_0685/klagomål/A 29939-2020 FSC-klagomål.docx", "A 29939-2020")</f>
        <v/>
      </c>
      <c r="W151">
        <f>HYPERLINK("https://klasma.github.io/Logging_0685/klagomålsmail/A 29939-2020 FSC-klagomål mail.docx", "A 29939-2020")</f>
        <v/>
      </c>
      <c r="X151">
        <f>HYPERLINK("https://klasma.github.io/Logging_0685/tillsyn/A 29939-2020 tillsynsbegäran.docx", "A 29939-2020")</f>
        <v/>
      </c>
      <c r="Y151">
        <f>HYPERLINK("https://klasma.github.io/Logging_0685/tillsynsmail/A 29939-2020 tillsynsbegäran mail.docx", "A 29939-2020")</f>
        <v/>
      </c>
    </row>
    <row r="152" ht="15" customHeight="1">
      <c r="A152" t="inlineStr">
        <is>
          <t>A 36233-2020</t>
        </is>
      </c>
      <c r="B152" s="1" t="n">
        <v>44049</v>
      </c>
      <c r="C152" s="1" t="n">
        <v>45793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HYPERLINK("https://klasma.github.io/Logging_0685/artfynd/A 36233-2020 artfynd.xlsx", "A 36233-2020")</f>
        <v/>
      </c>
      <c r="T152">
        <f>HYPERLINK("https://klasma.github.io/Logging_0685/kartor/A 36233-2020 karta.png", "A 36233-2020")</f>
        <v/>
      </c>
      <c r="V152">
        <f>HYPERLINK("https://klasma.github.io/Logging_0685/klagomål/A 36233-2020 FSC-klagomål.docx", "A 36233-2020")</f>
        <v/>
      </c>
      <c r="W152">
        <f>HYPERLINK("https://klasma.github.io/Logging_0685/klagomålsmail/A 36233-2020 FSC-klagomål mail.docx", "A 36233-2020")</f>
        <v/>
      </c>
      <c r="X152">
        <f>HYPERLINK("https://klasma.github.io/Logging_0685/tillsyn/A 36233-2020 tillsynsbegäran.docx", "A 36233-2020")</f>
        <v/>
      </c>
      <c r="Y152">
        <f>HYPERLINK("https://klasma.github.io/Logging_0685/tillsynsmail/A 36233-2020 tillsynsbegäran mail.docx", "A 36233-2020")</f>
        <v/>
      </c>
    </row>
    <row r="153" ht="15" customHeight="1">
      <c r="A153" t="inlineStr">
        <is>
          <t>A 46397-2020</t>
        </is>
      </c>
      <c r="B153" s="1" t="n">
        <v>44094</v>
      </c>
      <c r="C153" s="1" t="n">
        <v>45793</v>
      </c>
      <c r="D153" t="inlineStr">
        <is>
          <t>JÖNKÖPINGS LÄN</t>
        </is>
      </c>
      <c r="E153" t="inlineStr">
        <is>
          <t>JÖNKÖPING</t>
        </is>
      </c>
      <c r="G153" t="n">
        <v>6.5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Sommarfibbla
Spindelbock</t>
        </is>
      </c>
      <c r="S153">
        <f>HYPERLINK("https://klasma.github.io/Logging_0680/artfynd/A 46397-2020 artfynd.xlsx", "A 46397-2020")</f>
        <v/>
      </c>
      <c r="T153">
        <f>HYPERLINK("https://klasma.github.io/Logging_0680/kartor/A 46397-2020 karta.png", "A 46397-2020")</f>
        <v/>
      </c>
      <c r="V153">
        <f>HYPERLINK("https://klasma.github.io/Logging_0680/klagomål/A 46397-2020 FSC-klagomål.docx", "A 46397-2020")</f>
        <v/>
      </c>
      <c r="W153">
        <f>HYPERLINK("https://klasma.github.io/Logging_0680/klagomålsmail/A 46397-2020 FSC-klagomål mail.docx", "A 46397-2020")</f>
        <v/>
      </c>
      <c r="X153">
        <f>HYPERLINK("https://klasma.github.io/Logging_0680/tillsyn/A 46397-2020 tillsynsbegäran.docx", "A 46397-2020")</f>
        <v/>
      </c>
      <c r="Y153">
        <f>HYPERLINK("https://klasma.github.io/Logging_0680/tillsynsmail/A 46397-2020 tillsynsbegäran mail.docx", "A 46397-2020")</f>
        <v/>
      </c>
    </row>
    <row r="154" ht="15" customHeight="1">
      <c r="A154" t="inlineStr">
        <is>
          <t>A 59687-2020</t>
        </is>
      </c>
      <c r="B154" s="1" t="n">
        <v>44151</v>
      </c>
      <c r="C154" s="1" t="n">
        <v>45793</v>
      </c>
      <c r="D154" t="inlineStr">
        <is>
          <t>JÖNKÖPINGS LÄN</t>
        </is>
      </c>
      <c r="E154" t="inlineStr">
        <is>
          <t>JÖNKÖPING</t>
        </is>
      </c>
      <c r="G154" t="n">
        <v>4.6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HYPERLINK("https://klasma.github.io/Logging_0680/artfynd/A 59687-2020 artfynd.xlsx", "A 59687-2020")</f>
        <v/>
      </c>
      <c r="T154">
        <f>HYPERLINK("https://klasma.github.io/Logging_0680/kartor/A 59687-2020 karta.png", "A 59687-2020")</f>
        <v/>
      </c>
      <c r="V154">
        <f>HYPERLINK("https://klasma.github.io/Logging_0680/klagomål/A 59687-2020 FSC-klagomål.docx", "A 59687-2020")</f>
        <v/>
      </c>
      <c r="W154">
        <f>HYPERLINK("https://klasma.github.io/Logging_0680/klagomålsmail/A 59687-2020 FSC-klagomål mail.docx", "A 59687-2020")</f>
        <v/>
      </c>
      <c r="X154">
        <f>HYPERLINK("https://klasma.github.io/Logging_0680/tillsyn/A 59687-2020 tillsynsbegäran.docx", "A 59687-2020")</f>
        <v/>
      </c>
      <c r="Y154">
        <f>HYPERLINK("https://klasma.github.io/Logging_0680/tillsynsmail/A 59687-2020 tillsynsbegäran mail.docx", "A 59687-2020")</f>
        <v/>
      </c>
    </row>
    <row r="155" ht="15" customHeight="1">
      <c r="A155" t="inlineStr">
        <is>
          <t>A 59975-2020</t>
        </is>
      </c>
      <c r="B155" s="1" t="n">
        <v>44151</v>
      </c>
      <c r="C155" s="1" t="n">
        <v>45793</v>
      </c>
      <c r="D155" t="inlineStr">
        <is>
          <t>JÖNKÖPINGS LÄN</t>
        </is>
      </c>
      <c r="E155" t="inlineStr">
        <is>
          <t>ANEBY</t>
        </is>
      </c>
      <c r="F155" t="inlineStr">
        <is>
          <t>Kyrkan</t>
        </is>
      </c>
      <c r="G155" t="n">
        <v>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HYPERLINK("https://klasma.github.io/Logging_0604/artfynd/A 59975-2020 artfynd.xlsx", "A 59975-2020")</f>
        <v/>
      </c>
      <c r="T155">
        <f>HYPERLINK("https://klasma.github.io/Logging_0604/kartor/A 59975-2020 karta.png", "A 59975-2020")</f>
        <v/>
      </c>
      <c r="U155">
        <f>HYPERLINK("https://klasma.github.io/Logging_0604/knärot/A 59975-2020 karta knärot.png", "A 59975-2020")</f>
        <v/>
      </c>
      <c r="V155">
        <f>HYPERLINK("https://klasma.github.io/Logging_0604/klagomål/A 59975-2020 FSC-klagomål.docx", "A 59975-2020")</f>
        <v/>
      </c>
      <c r="W155">
        <f>HYPERLINK("https://klasma.github.io/Logging_0604/klagomålsmail/A 59975-2020 FSC-klagomål mail.docx", "A 59975-2020")</f>
        <v/>
      </c>
      <c r="X155">
        <f>HYPERLINK("https://klasma.github.io/Logging_0604/tillsyn/A 59975-2020 tillsynsbegäran.docx", "A 59975-2020")</f>
        <v/>
      </c>
      <c r="Y155">
        <f>HYPERLINK("https://klasma.github.io/Logging_0604/tillsynsmail/A 59975-2020 tillsynsbegäran mail.docx", "A 59975-2020")</f>
        <v/>
      </c>
    </row>
    <row r="156" ht="15" customHeight="1">
      <c r="A156" t="inlineStr">
        <is>
          <t>A 66627-2020</t>
        </is>
      </c>
      <c r="B156" s="1" t="n">
        <v>44179</v>
      </c>
      <c r="C156" s="1" t="n">
        <v>45793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Granbarkgnagare</t>
        </is>
      </c>
      <c r="S156">
        <f>HYPERLINK("https://klasma.github.io/Logging_0682/artfynd/A 66627-2020 artfynd.xlsx", "A 66627-2020")</f>
        <v/>
      </c>
      <c r="T156">
        <f>HYPERLINK("https://klasma.github.io/Logging_0682/kartor/A 66627-2020 karta.png", "A 66627-2020")</f>
        <v/>
      </c>
      <c r="U156">
        <f>HYPERLINK("https://klasma.github.io/Logging_0682/knärot/A 66627-2020 karta knärot.png", "A 66627-2020")</f>
        <v/>
      </c>
      <c r="V156">
        <f>HYPERLINK("https://klasma.github.io/Logging_0682/klagomål/A 66627-2020 FSC-klagomål.docx", "A 66627-2020")</f>
        <v/>
      </c>
      <c r="W156">
        <f>HYPERLINK("https://klasma.github.io/Logging_0682/klagomålsmail/A 66627-2020 FSC-klagomål mail.docx", "A 66627-2020")</f>
        <v/>
      </c>
      <c r="X156">
        <f>HYPERLINK("https://klasma.github.io/Logging_0682/tillsyn/A 66627-2020 tillsynsbegäran.docx", "A 66627-2020")</f>
        <v/>
      </c>
      <c r="Y156">
        <f>HYPERLINK("https://klasma.github.io/Logging_0682/tillsynsmail/A 66627-2020 tillsynsbegäran mail.docx", "A 66627-2020")</f>
        <v/>
      </c>
    </row>
    <row r="157" ht="15" customHeight="1">
      <c r="A157" t="inlineStr">
        <is>
          <t>A 882-2021</t>
        </is>
      </c>
      <c r="B157" s="1" t="n">
        <v>44205</v>
      </c>
      <c r="C157" s="1" t="n">
        <v>45793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Sommarfibbla
Svinrot</t>
        </is>
      </c>
      <c r="S157">
        <f>HYPERLINK("https://klasma.github.io/Logging_0685/artfynd/A 882-2021 artfynd.xlsx", "A 882-2021")</f>
        <v/>
      </c>
      <c r="T157">
        <f>HYPERLINK("https://klasma.github.io/Logging_0685/kartor/A 882-2021 karta.png", "A 882-2021")</f>
        <v/>
      </c>
      <c r="V157">
        <f>HYPERLINK("https://klasma.github.io/Logging_0685/klagomål/A 882-2021 FSC-klagomål.docx", "A 882-2021")</f>
        <v/>
      </c>
      <c r="W157">
        <f>HYPERLINK("https://klasma.github.io/Logging_0685/klagomålsmail/A 882-2021 FSC-klagomål mail.docx", "A 882-2021")</f>
        <v/>
      </c>
      <c r="X157">
        <f>HYPERLINK("https://klasma.github.io/Logging_0685/tillsyn/A 882-2021 tillsynsbegäran.docx", "A 882-2021")</f>
        <v/>
      </c>
      <c r="Y157">
        <f>HYPERLINK("https://klasma.github.io/Logging_0685/tillsynsmail/A 882-2021 tillsynsbegäran mail.docx", "A 882-2021")</f>
        <v/>
      </c>
    </row>
    <row r="158" ht="15" customHeight="1">
      <c r="A158" t="inlineStr">
        <is>
          <t>A 10009-2021</t>
        </is>
      </c>
      <c r="B158" s="1" t="n">
        <v>44255</v>
      </c>
      <c r="C158" s="1" t="n">
        <v>45793</v>
      </c>
      <c r="D158" t="inlineStr">
        <is>
          <t>JÖNKÖPINGS LÄN</t>
        </is>
      </c>
      <c r="E158" t="inlineStr">
        <is>
          <t>VETLANDA</t>
        </is>
      </c>
      <c r="G158" t="n">
        <v>6.1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Blåsippa</t>
        </is>
      </c>
      <c r="S158">
        <f>HYPERLINK("https://klasma.github.io/Logging_0685/artfynd/A 10009-2021 artfynd.xlsx", "A 10009-2021")</f>
        <v/>
      </c>
      <c r="T158">
        <f>HYPERLINK("https://klasma.github.io/Logging_0685/kartor/A 10009-2021 karta.png", "A 10009-2021")</f>
        <v/>
      </c>
      <c r="V158">
        <f>HYPERLINK("https://klasma.github.io/Logging_0685/klagomål/A 10009-2021 FSC-klagomål.docx", "A 10009-2021")</f>
        <v/>
      </c>
      <c r="W158">
        <f>HYPERLINK("https://klasma.github.io/Logging_0685/klagomålsmail/A 10009-2021 FSC-klagomål mail.docx", "A 10009-2021")</f>
        <v/>
      </c>
      <c r="X158">
        <f>HYPERLINK("https://klasma.github.io/Logging_0685/tillsyn/A 10009-2021 tillsynsbegäran.docx", "A 10009-2021")</f>
        <v/>
      </c>
      <c r="Y158">
        <f>HYPERLINK("https://klasma.github.io/Logging_0685/tillsynsmail/A 10009-2021 tillsynsbegäran mail.docx", "A 10009-2021")</f>
        <v/>
      </c>
    </row>
    <row r="159" ht="15" customHeight="1">
      <c r="A159" t="inlineStr">
        <is>
          <t>A 45507-2021</t>
        </is>
      </c>
      <c r="B159" s="1" t="n">
        <v>44440</v>
      </c>
      <c r="C159" s="1" t="n">
        <v>45793</v>
      </c>
      <c r="D159" t="inlineStr">
        <is>
          <t>JÖNKÖPINGS LÄN</t>
        </is>
      </c>
      <c r="E159" t="inlineStr">
        <is>
          <t>VETLANDA</t>
        </is>
      </c>
      <c r="G159" t="n">
        <v>2.4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Bredbrämad bastardsvärmare
Mindre bastardsvärmare</t>
        </is>
      </c>
      <c r="S159">
        <f>HYPERLINK("https://klasma.github.io/Logging_0685/artfynd/A 45507-2021 artfynd.xlsx", "A 45507-2021")</f>
        <v/>
      </c>
      <c r="T159">
        <f>HYPERLINK("https://klasma.github.io/Logging_0685/kartor/A 45507-2021 karta.png", "A 45507-2021")</f>
        <v/>
      </c>
      <c r="V159">
        <f>HYPERLINK("https://klasma.github.io/Logging_0685/klagomål/A 45507-2021 FSC-klagomål.docx", "A 45507-2021")</f>
        <v/>
      </c>
      <c r="W159">
        <f>HYPERLINK("https://klasma.github.io/Logging_0685/klagomålsmail/A 45507-2021 FSC-klagomål mail.docx", "A 45507-2021")</f>
        <v/>
      </c>
      <c r="X159">
        <f>HYPERLINK("https://klasma.github.io/Logging_0685/tillsyn/A 45507-2021 tillsynsbegäran.docx", "A 45507-2021")</f>
        <v/>
      </c>
      <c r="Y159">
        <f>HYPERLINK("https://klasma.github.io/Logging_0685/tillsynsmail/A 45507-2021 tillsynsbegäran mail.docx", "A 45507-2021")</f>
        <v/>
      </c>
    </row>
    <row r="160" ht="15" customHeight="1">
      <c r="A160" t="inlineStr">
        <is>
          <t>A 46805-2021</t>
        </is>
      </c>
      <c r="B160" s="1" t="n">
        <v>44446</v>
      </c>
      <c r="C160" s="1" t="n">
        <v>45793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HYPERLINK("https://klasma.github.io/Logging_0687/artfynd/A 46805-2021 artfynd.xlsx", "A 46805-2021")</f>
        <v/>
      </c>
      <c r="T160">
        <f>HYPERLINK("https://klasma.github.io/Logging_0687/kartor/A 46805-2021 karta.png", "A 46805-2021")</f>
        <v/>
      </c>
      <c r="U160">
        <f>HYPERLINK("https://klasma.github.io/Logging_0687/knärot/A 46805-2021 karta knärot.png", "A 46805-2021")</f>
        <v/>
      </c>
      <c r="V160">
        <f>HYPERLINK("https://klasma.github.io/Logging_0687/klagomål/A 46805-2021 FSC-klagomål.docx", "A 46805-2021")</f>
        <v/>
      </c>
      <c r="W160">
        <f>HYPERLINK("https://klasma.github.io/Logging_0687/klagomålsmail/A 46805-2021 FSC-klagomål mail.docx", "A 46805-2021")</f>
        <v/>
      </c>
      <c r="X160">
        <f>HYPERLINK("https://klasma.github.io/Logging_0687/tillsyn/A 46805-2021 tillsynsbegäran.docx", "A 46805-2021")</f>
        <v/>
      </c>
      <c r="Y160">
        <f>HYPERLINK("https://klasma.github.io/Logging_0687/tillsynsmail/A 46805-2021 tillsynsbegäran mail.docx", "A 46805-2021")</f>
        <v/>
      </c>
    </row>
    <row r="161" ht="15" customHeight="1">
      <c r="A161" t="inlineStr">
        <is>
          <t>A 72729-2021</t>
        </is>
      </c>
      <c r="B161" s="1" t="n">
        <v>44546</v>
      </c>
      <c r="C161" s="1" t="n">
        <v>45793</v>
      </c>
      <c r="D161" t="inlineStr">
        <is>
          <t>JÖNKÖPINGS LÄN</t>
        </is>
      </c>
      <c r="E161" t="inlineStr">
        <is>
          <t>VÄRNAMO</t>
        </is>
      </c>
      <c r="G161" t="n">
        <v>9.699999999999999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Vanlig groda</t>
        </is>
      </c>
      <c r="S161">
        <f>HYPERLINK("https://klasma.github.io/Logging_0683/artfynd/A 72729-2021 artfynd.xlsx", "A 72729-2021")</f>
        <v/>
      </c>
      <c r="T161">
        <f>HYPERLINK("https://klasma.github.io/Logging_0683/kartor/A 72729-2021 karta.png", "A 72729-2021")</f>
        <v/>
      </c>
      <c r="V161">
        <f>HYPERLINK("https://klasma.github.io/Logging_0683/klagomål/A 72729-2021 FSC-klagomål.docx", "A 72729-2021")</f>
        <v/>
      </c>
      <c r="W161">
        <f>HYPERLINK("https://klasma.github.io/Logging_0683/klagomålsmail/A 72729-2021 FSC-klagomål mail.docx", "A 72729-2021")</f>
        <v/>
      </c>
      <c r="X161">
        <f>HYPERLINK("https://klasma.github.io/Logging_0683/tillsyn/A 72729-2021 tillsynsbegäran.docx", "A 72729-2021")</f>
        <v/>
      </c>
      <c r="Y161">
        <f>HYPERLINK("https://klasma.github.io/Logging_0683/tillsynsmail/A 72729-2021 tillsynsbegäran mail.docx", "A 72729-2021")</f>
        <v/>
      </c>
    </row>
    <row r="162" ht="15" customHeight="1">
      <c r="A162" t="inlineStr">
        <is>
          <t>A 73375-2021</t>
        </is>
      </c>
      <c r="B162" s="1" t="n">
        <v>44550</v>
      </c>
      <c r="C162" s="1" t="n">
        <v>45793</v>
      </c>
      <c r="D162" t="inlineStr">
        <is>
          <t>JÖNKÖPINGS LÄN</t>
        </is>
      </c>
      <c r="E162" t="inlineStr">
        <is>
          <t>VETLANDA</t>
        </is>
      </c>
      <c r="G162" t="n">
        <v>7.4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Järpe
Blåsippa</t>
        </is>
      </c>
      <c r="S162">
        <f>HYPERLINK("https://klasma.github.io/Logging_0685/artfynd/A 73375-2021 artfynd.xlsx", "A 73375-2021")</f>
        <v/>
      </c>
      <c r="T162">
        <f>HYPERLINK("https://klasma.github.io/Logging_0685/kartor/A 73375-2021 karta.png", "A 73375-2021")</f>
        <v/>
      </c>
      <c r="V162">
        <f>HYPERLINK("https://klasma.github.io/Logging_0685/klagomål/A 73375-2021 FSC-klagomål.docx", "A 73375-2021")</f>
        <v/>
      </c>
      <c r="W162">
        <f>HYPERLINK("https://klasma.github.io/Logging_0685/klagomålsmail/A 73375-2021 FSC-klagomål mail.docx", "A 73375-2021")</f>
        <v/>
      </c>
      <c r="X162">
        <f>HYPERLINK("https://klasma.github.io/Logging_0685/tillsyn/A 73375-2021 tillsynsbegäran.docx", "A 73375-2021")</f>
        <v/>
      </c>
      <c r="Y162">
        <f>HYPERLINK("https://klasma.github.io/Logging_0685/tillsynsmail/A 73375-2021 tillsynsbegäran mail.docx", "A 73375-2021")</f>
        <v/>
      </c>
      <c r="Z162">
        <f>HYPERLINK("https://klasma.github.io/Logging_0685/fåglar/A 73375-2021 prioriterade fågelarter.docx", "A 73375-2021")</f>
        <v/>
      </c>
    </row>
    <row r="163" ht="15" customHeight="1">
      <c r="A163" t="inlineStr">
        <is>
          <t>A 7078-2022</t>
        </is>
      </c>
      <c r="B163" s="1" t="n">
        <v>44603</v>
      </c>
      <c r="C163" s="1" t="n">
        <v>45793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Narrklibbfibbla
Fjällig taggsvamp s.str.</t>
        </is>
      </c>
      <c r="S163">
        <f>HYPERLINK("https://klasma.github.io/Logging_0685/artfynd/A 7078-2022 artfynd.xlsx", "A 7078-2022")</f>
        <v/>
      </c>
      <c r="T163">
        <f>HYPERLINK("https://klasma.github.io/Logging_0685/kartor/A 7078-2022 karta.png", "A 7078-2022")</f>
        <v/>
      </c>
      <c r="V163">
        <f>HYPERLINK("https://klasma.github.io/Logging_0685/klagomål/A 7078-2022 FSC-klagomål.docx", "A 7078-2022")</f>
        <v/>
      </c>
      <c r="W163">
        <f>HYPERLINK("https://klasma.github.io/Logging_0685/klagomålsmail/A 7078-2022 FSC-klagomål mail.docx", "A 7078-2022")</f>
        <v/>
      </c>
      <c r="X163">
        <f>HYPERLINK("https://klasma.github.io/Logging_0685/tillsyn/A 7078-2022 tillsynsbegäran.docx", "A 7078-2022")</f>
        <v/>
      </c>
      <c r="Y163">
        <f>HYPERLINK("https://klasma.github.io/Logging_0685/tillsynsmail/A 7078-2022 tillsynsbegäran mail.docx", "A 7078-2022")</f>
        <v/>
      </c>
    </row>
    <row r="164" ht="15" customHeight="1">
      <c r="A164" t="inlineStr">
        <is>
          <t>A 9224-2022</t>
        </is>
      </c>
      <c r="B164" s="1" t="n">
        <v>44616</v>
      </c>
      <c r="C164" s="1" t="n">
        <v>45793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14.1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Orre</t>
        </is>
      </c>
      <c r="S164">
        <f>HYPERLINK("https://klasma.github.io/Logging_0665/artfynd/A 9224-2022 artfynd.xlsx", "A 9224-2022")</f>
        <v/>
      </c>
      <c r="T164">
        <f>HYPERLINK("https://klasma.github.io/Logging_0665/kartor/A 9224-2022 karta.png", "A 9224-2022")</f>
        <v/>
      </c>
      <c r="V164">
        <f>HYPERLINK("https://klasma.github.io/Logging_0665/klagomål/A 9224-2022 FSC-klagomål.docx", "A 9224-2022")</f>
        <v/>
      </c>
      <c r="W164">
        <f>HYPERLINK("https://klasma.github.io/Logging_0665/klagomålsmail/A 9224-2022 FSC-klagomål mail.docx", "A 9224-2022")</f>
        <v/>
      </c>
      <c r="X164">
        <f>HYPERLINK("https://klasma.github.io/Logging_0665/tillsyn/A 9224-2022 tillsynsbegäran.docx", "A 9224-2022")</f>
        <v/>
      </c>
      <c r="Y164">
        <f>HYPERLINK("https://klasma.github.io/Logging_0665/tillsynsmail/A 9224-2022 tillsynsbegäran mail.docx", "A 9224-2022")</f>
        <v/>
      </c>
      <c r="Z164">
        <f>HYPERLINK("https://klasma.github.io/Logging_0665/fåglar/A 9224-2022 prioriterade fågelarter.docx", "A 9224-2022")</f>
        <v/>
      </c>
    </row>
    <row r="165" ht="15" customHeight="1">
      <c r="A165" t="inlineStr">
        <is>
          <t>A 13006-2022</t>
        </is>
      </c>
      <c r="B165" s="1" t="n">
        <v>44643</v>
      </c>
      <c r="C165" s="1" t="n">
        <v>45793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12.5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13006-2022 artfynd.xlsx", "A 13006-2022")</f>
        <v/>
      </c>
      <c r="T165">
        <f>HYPERLINK("https://klasma.github.io/Logging_0685/kartor/A 13006-2022 karta.png", "A 13006-2022")</f>
        <v/>
      </c>
      <c r="U165">
        <f>HYPERLINK("https://klasma.github.io/Logging_0685/knärot/A 13006-2022 karta knärot.png", "A 13006-2022")</f>
        <v/>
      </c>
      <c r="V165">
        <f>HYPERLINK("https://klasma.github.io/Logging_0685/klagomål/A 13006-2022 FSC-klagomål.docx", "A 13006-2022")</f>
        <v/>
      </c>
      <c r="W165">
        <f>HYPERLINK("https://klasma.github.io/Logging_0685/klagomålsmail/A 13006-2022 FSC-klagomål mail.docx", "A 13006-2022")</f>
        <v/>
      </c>
      <c r="X165">
        <f>HYPERLINK("https://klasma.github.io/Logging_0685/tillsyn/A 13006-2022 tillsynsbegäran.docx", "A 13006-2022")</f>
        <v/>
      </c>
      <c r="Y165">
        <f>HYPERLINK("https://klasma.github.io/Logging_0685/tillsynsmail/A 13006-2022 tillsynsbegäran mail.docx", "A 13006-2022")</f>
        <v/>
      </c>
    </row>
    <row r="166" ht="15" customHeight="1">
      <c r="A166" t="inlineStr">
        <is>
          <t>A 17130-2022</t>
        </is>
      </c>
      <c r="B166" s="1" t="n">
        <v>44677</v>
      </c>
      <c r="C166" s="1" t="n">
        <v>45793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HYPERLINK("https://klasma.github.io/Logging_0604/artfynd/A 17130-2022 artfynd.xlsx", "A 17130-2022")</f>
        <v/>
      </c>
      <c r="T166">
        <f>HYPERLINK("https://klasma.github.io/Logging_0604/kartor/A 17130-2022 karta.png", "A 17130-2022")</f>
        <v/>
      </c>
      <c r="V166">
        <f>HYPERLINK("https://klasma.github.io/Logging_0604/klagomål/A 17130-2022 FSC-klagomål.docx", "A 17130-2022")</f>
        <v/>
      </c>
      <c r="W166">
        <f>HYPERLINK("https://klasma.github.io/Logging_0604/klagomålsmail/A 17130-2022 FSC-klagomål mail.docx", "A 17130-2022")</f>
        <v/>
      </c>
      <c r="X166">
        <f>HYPERLINK("https://klasma.github.io/Logging_0604/tillsyn/A 17130-2022 tillsynsbegäran.docx", "A 17130-2022")</f>
        <v/>
      </c>
      <c r="Y166">
        <f>HYPERLINK("https://klasma.github.io/Logging_0604/tillsynsmail/A 17130-2022 tillsynsbegäran mail.docx", "A 17130-2022")</f>
        <v/>
      </c>
    </row>
    <row r="167" ht="15" customHeight="1">
      <c r="A167" t="inlineStr">
        <is>
          <t>A 22369-2022</t>
        </is>
      </c>
      <c r="B167" s="1" t="n">
        <v>44713</v>
      </c>
      <c r="C167" s="1" t="n">
        <v>45793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30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Entita
Mattlummer</t>
        </is>
      </c>
      <c r="S167">
        <f>HYPERLINK("https://klasma.github.io/Logging_0665/artfynd/A 22369-2022 artfynd.xlsx", "A 22369-2022")</f>
        <v/>
      </c>
      <c r="T167">
        <f>HYPERLINK("https://klasma.github.io/Logging_0665/kartor/A 22369-2022 karta.png", "A 22369-2022")</f>
        <v/>
      </c>
      <c r="V167">
        <f>HYPERLINK("https://klasma.github.io/Logging_0665/klagomål/A 22369-2022 FSC-klagomål.docx", "A 22369-2022")</f>
        <v/>
      </c>
      <c r="W167">
        <f>HYPERLINK("https://klasma.github.io/Logging_0665/klagomålsmail/A 22369-2022 FSC-klagomål mail.docx", "A 22369-2022")</f>
        <v/>
      </c>
      <c r="X167">
        <f>HYPERLINK("https://klasma.github.io/Logging_0665/tillsyn/A 22369-2022 tillsynsbegäran.docx", "A 22369-2022")</f>
        <v/>
      </c>
      <c r="Y167">
        <f>HYPERLINK("https://klasma.github.io/Logging_0665/tillsynsmail/A 22369-2022 tillsynsbegäran mail.docx", "A 22369-2022")</f>
        <v/>
      </c>
      <c r="Z167">
        <f>HYPERLINK("https://klasma.github.io/Logging_0665/fåglar/A 22369-2022 prioriterade fågelarter.docx", "A 22369-2022")</f>
        <v/>
      </c>
    </row>
    <row r="168" ht="15" customHeight="1">
      <c r="A168" t="inlineStr">
        <is>
          <t>A 28842-2022</t>
        </is>
      </c>
      <c r="B168" s="1" t="n">
        <v>44749</v>
      </c>
      <c r="C168" s="1" t="n">
        <v>45793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Skrovlig taggsvamp
Blomkålssvamp</t>
        </is>
      </c>
      <c r="S168">
        <f>HYPERLINK("https://klasma.github.io/Logging_0643/artfynd/A 28842-2022 artfynd.xlsx", "A 28842-2022")</f>
        <v/>
      </c>
      <c r="T168">
        <f>HYPERLINK("https://klasma.github.io/Logging_0643/kartor/A 28842-2022 karta.png", "A 28842-2022")</f>
        <v/>
      </c>
      <c r="V168">
        <f>HYPERLINK("https://klasma.github.io/Logging_0643/klagomål/A 28842-2022 FSC-klagomål.docx", "A 28842-2022")</f>
        <v/>
      </c>
      <c r="W168">
        <f>HYPERLINK("https://klasma.github.io/Logging_0643/klagomålsmail/A 28842-2022 FSC-klagomål mail.docx", "A 28842-2022")</f>
        <v/>
      </c>
      <c r="X168">
        <f>HYPERLINK("https://klasma.github.io/Logging_0643/tillsyn/A 28842-2022 tillsynsbegäran.docx", "A 28842-2022")</f>
        <v/>
      </c>
      <c r="Y168">
        <f>HYPERLINK("https://klasma.github.io/Logging_0643/tillsynsmail/A 28842-2022 tillsynsbegäran mail.docx", "A 28842-2022")</f>
        <v/>
      </c>
    </row>
    <row r="169" ht="15" customHeight="1">
      <c r="A169" t="inlineStr">
        <is>
          <t>A 28847-2022</t>
        </is>
      </c>
      <c r="B169" s="1" t="n">
        <v>44749</v>
      </c>
      <c r="C169" s="1" t="n">
        <v>45793</v>
      </c>
      <c r="D169" t="inlineStr">
        <is>
          <t>JÖNKÖPINGS LÄN</t>
        </is>
      </c>
      <c r="E169" t="inlineStr">
        <is>
          <t>HABO</t>
        </is>
      </c>
      <c r="G169" t="n">
        <v>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Zontaggsvamp</t>
        </is>
      </c>
      <c r="S169">
        <f>HYPERLINK("https://klasma.github.io/Logging_0643/artfynd/A 28847-2022 artfynd.xlsx", "A 28847-2022")</f>
        <v/>
      </c>
      <c r="T169">
        <f>HYPERLINK("https://klasma.github.io/Logging_0643/kartor/A 28847-2022 karta.png", "A 28847-2022")</f>
        <v/>
      </c>
      <c r="V169">
        <f>HYPERLINK("https://klasma.github.io/Logging_0643/klagomål/A 28847-2022 FSC-klagomål.docx", "A 28847-2022")</f>
        <v/>
      </c>
      <c r="W169">
        <f>HYPERLINK("https://klasma.github.io/Logging_0643/klagomålsmail/A 28847-2022 FSC-klagomål mail.docx", "A 28847-2022")</f>
        <v/>
      </c>
      <c r="X169">
        <f>HYPERLINK("https://klasma.github.io/Logging_0643/tillsyn/A 28847-2022 tillsynsbegäran.docx", "A 28847-2022")</f>
        <v/>
      </c>
      <c r="Y169">
        <f>HYPERLINK("https://klasma.github.io/Logging_0643/tillsynsmail/A 28847-2022 tillsynsbegäran mail.docx", "A 28847-2022")</f>
        <v/>
      </c>
    </row>
    <row r="170" ht="15" customHeight="1">
      <c r="A170" t="inlineStr">
        <is>
          <t>A 42369-2022</t>
        </is>
      </c>
      <c r="B170" s="1" t="n">
        <v>44831</v>
      </c>
      <c r="C170" s="1" t="n">
        <v>45793</v>
      </c>
      <c r="D170" t="inlineStr">
        <is>
          <t>JÖNKÖPINGS LÄN</t>
        </is>
      </c>
      <c r="E170" t="inlineStr">
        <is>
          <t>JÖNKÖPING</t>
        </is>
      </c>
      <c r="G170" t="n">
        <v>6.8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Mörk husmossa
Västlig hakmossa</t>
        </is>
      </c>
      <c r="S170">
        <f>HYPERLINK("https://klasma.github.io/Logging_0680/artfynd/A 42369-2022 artfynd.xlsx", "A 42369-2022")</f>
        <v/>
      </c>
      <c r="T170">
        <f>HYPERLINK("https://klasma.github.io/Logging_0680/kartor/A 42369-2022 karta.png", "A 42369-2022")</f>
        <v/>
      </c>
      <c r="V170">
        <f>HYPERLINK("https://klasma.github.io/Logging_0680/klagomål/A 42369-2022 FSC-klagomål.docx", "A 42369-2022")</f>
        <v/>
      </c>
      <c r="W170">
        <f>HYPERLINK("https://klasma.github.io/Logging_0680/klagomålsmail/A 42369-2022 FSC-klagomål mail.docx", "A 42369-2022")</f>
        <v/>
      </c>
      <c r="X170">
        <f>HYPERLINK("https://klasma.github.io/Logging_0680/tillsyn/A 42369-2022 tillsynsbegäran.docx", "A 42369-2022")</f>
        <v/>
      </c>
      <c r="Y170">
        <f>HYPERLINK("https://klasma.github.io/Logging_0680/tillsynsmail/A 42369-2022 tillsynsbegäran mail.docx", "A 42369-2022")</f>
        <v/>
      </c>
    </row>
    <row r="171" ht="15" customHeight="1">
      <c r="A171" t="inlineStr">
        <is>
          <t>A 45525-2022</t>
        </is>
      </c>
      <c r="B171" s="1" t="n">
        <v>44841</v>
      </c>
      <c r="C171" s="1" t="n">
        <v>45793</v>
      </c>
      <c r="D171" t="inlineStr">
        <is>
          <t>JÖNKÖPINGS LÄN</t>
        </is>
      </c>
      <c r="E171" t="inlineStr">
        <is>
          <t>VÄRNAMO</t>
        </is>
      </c>
      <c r="G171" t="n">
        <v>15.2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Hasselticka
Svart trolldruva</t>
        </is>
      </c>
      <c r="S171">
        <f>HYPERLINK("https://klasma.github.io/Logging_0683/artfynd/A 45525-2022 artfynd.xlsx", "A 45525-2022")</f>
        <v/>
      </c>
      <c r="T171">
        <f>HYPERLINK("https://klasma.github.io/Logging_0683/kartor/A 45525-2022 karta.png", "A 45525-2022")</f>
        <v/>
      </c>
      <c r="V171">
        <f>HYPERLINK("https://klasma.github.io/Logging_0683/klagomål/A 45525-2022 FSC-klagomål.docx", "A 45525-2022")</f>
        <v/>
      </c>
      <c r="W171">
        <f>HYPERLINK("https://klasma.github.io/Logging_0683/klagomålsmail/A 45525-2022 FSC-klagomål mail.docx", "A 45525-2022")</f>
        <v/>
      </c>
      <c r="X171">
        <f>HYPERLINK("https://klasma.github.io/Logging_0683/tillsyn/A 45525-2022 tillsynsbegäran.docx", "A 45525-2022")</f>
        <v/>
      </c>
      <c r="Y171">
        <f>HYPERLINK("https://klasma.github.io/Logging_0683/tillsynsmail/A 45525-2022 tillsynsbegäran mail.docx", "A 45525-2022")</f>
        <v/>
      </c>
    </row>
    <row r="172" ht="15" customHeight="1">
      <c r="A172" t="inlineStr">
        <is>
          <t>A 46272-2022</t>
        </is>
      </c>
      <c r="B172" s="1" t="n">
        <v>44847</v>
      </c>
      <c r="C172" s="1" t="n">
        <v>45793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1</v>
      </c>
      <c r="I172" t="n">
        <v>0</v>
      </c>
      <c r="J172" t="n">
        <v>0</v>
      </c>
      <c r="K172" t="n">
        <v>1</v>
      </c>
      <c r="L172" t="n">
        <v>1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Mosippa
Slåttergubbe</t>
        </is>
      </c>
      <c r="S172">
        <f>HYPERLINK("https://klasma.github.io/Logging_0684/artfynd/A 46272-2022 artfynd.xlsx", "A 46272-2022")</f>
        <v/>
      </c>
      <c r="T172">
        <f>HYPERLINK("https://klasma.github.io/Logging_0684/kartor/A 46272-2022 karta.png", "A 46272-2022")</f>
        <v/>
      </c>
      <c r="V172">
        <f>HYPERLINK("https://klasma.github.io/Logging_0684/klagomål/A 46272-2022 FSC-klagomål.docx", "A 46272-2022")</f>
        <v/>
      </c>
      <c r="W172">
        <f>HYPERLINK("https://klasma.github.io/Logging_0684/klagomålsmail/A 46272-2022 FSC-klagomål mail.docx", "A 46272-2022")</f>
        <v/>
      </c>
      <c r="X172">
        <f>HYPERLINK("https://klasma.github.io/Logging_0684/tillsyn/A 46272-2022 tillsynsbegäran.docx", "A 46272-2022")</f>
        <v/>
      </c>
      <c r="Y172">
        <f>HYPERLINK("https://klasma.github.io/Logging_0684/tillsynsmail/A 46272-2022 tillsynsbegäran mail.docx", "A 46272-2022")</f>
        <v/>
      </c>
    </row>
    <row r="173" ht="15" customHeight="1">
      <c r="A173" t="inlineStr">
        <is>
          <t>A 55701-2022</t>
        </is>
      </c>
      <c r="B173" s="1" t="n">
        <v>44888</v>
      </c>
      <c r="C173" s="1" t="n">
        <v>45793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Storgröe
Hässleklocka</t>
        </is>
      </c>
      <c r="S173">
        <f>HYPERLINK("https://klasma.github.io/Logging_0687/artfynd/A 55701-2022 artfynd.xlsx", "A 55701-2022")</f>
        <v/>
      </c>
      <c r="T173">
        <f>HYPERLINK("https://klasma.github.io/Logging_0687/kartor/A 55701-2022 karta.png", "A 55701-2022")</f>
        <v/>
      </c>
      <c r="V173">
        <f>HYPERLINK("https://klasma.github.io/Logging_0687/klagomål/A 55701-2022 FSC-klagomål.docx", "A 55701-2022")</f>
        <v/>
      </c>
      <c r="W173">
        <f>HYPERLINK("https://klasma.github.io/Logging_0687/klagomålsmail/A 55701-2022 FSC-klagomål mail.docx", "A 55701-2022")</f>
        <v/>
      </c>
      <c r="X173">
        <f>HYPERLINK("https://klasma.github.io/Logging_0687/tillsyn/A 55701-2022 tillsynsbegäran.docx", "A 55701-2022")</f>
        <v/>
      </c>
      <c r="Y173">
        <f>HYPERLINK("https://klasma.github.io/Logging_0687/tillsynsmail/A 55701-2022 tillsynsbegäran mail.docx", "A 55701-2022")</f>
        <v/>
      </c>
    </row>
    <row r="174" ht="15" customHeight="1">
      <c r="A174" t="inlineStr">
        <is>
          <t>A 58101-2022</t>
        </is>
      </c>
      <c r="B174" s="1" t="n">
        <v>44900</v>
      </c>
      <c r="C174" s="1" t="n">
        <v>45793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Grönvit nattviol</t>
        </is>
      </c>
      <c r="S174">
        <f>HYPERLINK("https://klasma.github.io/Logging_0684/artfynd/A 58101-2022 artfynd.xlsx", "A 58101-2022")</f>
        <v/>
      </c>
      <c r="T174">
        <f>HYPERLINK("https://klasma.github.io/Logging_0684/kartor/A 58101-2022 karta.png", "A 58101-2022")</f>
        <v/>
      </c>
      <c r="V174">
        <f>HYPERLINK("https://klasma.github.io/Logging_0684/klagomål/A 58101-2022 FSC-klagomål.docx", "A 58101-2022")</f>
        <v/>
      </c>
      <c r="W174">
        <f>HYPERLINK("https://klasma.github.io/Logging_0684/klagomålsmail/A 58101-2022 FSC-klagomål mail.docx", "A 58101-2022")</f>
        <v/>
      </c>
      <c r="X174">
        <f>HYPERLINK("https://klasma.github.io/Logging_0684/tillsyn/A 58101-2022 tillsynsbegäran.docx", "A 58101-2022")</f>
        <v/>
      </c>
      <c r="Y174">
        <f>HYPERLINK("https://klasma.github.io/Logging_0684/tillsynsmail/A 58101-2022 tillsynsbegäran mail.docx", "A 58101-2022")</f>
        <v/>
      </c>
    </row>
    <row r="175" ht="15" customHeight="1">
      <c r="A175" t="inlineStr">
        <is>
          <t>A 59543-2022</t>
        </is>
      </c>
      <c r="B175" s="1" t="n">
        <v>44900</v>
      </c>
      <c r="C175" s="1" t="n">
        <v>45793</v>
      </c>
      <c r="D175" t="inlineStr">
        <is>
          <t>JÖNKÖPINGS LÄN</t>
        </is>
      </c>
      <c r="E175" t="inlineStr">
        <is>
          <t>TRANÅS</t>
        </is>
      </c>
      <c r="G175" t="n">
        <v>2.6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Större vattensalamander
Mindre vattensalamander</t>
        </is>
      </c>
      <c r="S175">
        <f>HYPERLINK("https://klasma.github.io/Logging_0687/artfynd/A 59543-2022 artfynd.xlsx", "A 59543-2022")</f>
        <v/>
      </c>
      <c r="T175">
        <f>HYPERLINK("https://klasma.github.io/Logging_0687/kartor/A 59543-2022 karta.png", "A 59543-2022")</f>
        <v/>
      </c>
      <c r="V175">
        <f>HYPERLINK("https://klasma.github.io/Logging_0687/klagomål/A 59543-2022 FSC-klagomål.docx", "A 59543-2022")</f>
        <v/>
      </c>
      <c r="W175">
        <f>HYPERLINK("https://klasma.github.io/Logging_0687/klagomålsmail/A 59543-2022 FSC-klagomål mail.docx", "A 59543-2022")</f>
        <v/>
      </c>
      <c r="X175">
        <f>HYPERLINK("https://klasma.github.io/Logging_0687/tillsyn/A 59543-2022 tillsynsbegäran.docx", "A 59543-2022")</f>
        <v/>
      </c>
      <c r="Y175">
        <f>HYPERLINK("https://klasma.github.io/Logging_0687/tillsynsmail/A 59543-2022 tillsynsbegäran mail.docx", "A 59543-2022")</f>
        <v/>
      </c>
    </row>
    <row r="176" ht="15" customHeight="1">
      <c r="A176" t="inlineStr">
        <is>
          <t>A 4015-2023</t>
        </is>
      </c>
      <c r="B176" s="1" t="n">
        <v>44952</v>
      </c>
      <c r="C176" s="1" t="n">
        <v>45793</v>
      </c>
      <c r="D176" t="inlineStr">
        <is>
          <t>JÖNKÖPINGS LÄN</t>
        </is>
      </c>
      <c r="E176" t="inlineStr">
        <is>
          <t>VAGGERYD</t>
        </is>
      </c>
      <c r="G176" t="n">
        <v>6</v>
      </c>
      <c r="H176" t="n">
        <v>2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Korallrot
Spindelblomster</t>
        </is>
      </c>
      <c r="S176">
        <f>HYPERLINK("https://klasma.github.io/Logging_0665/artfynd/A 4015-2023 artfynd.xlsx", "A 4015-2023")</f>
        <v/>
      </c>
      <c r="T176">
        <f>HYPERLINK("https://klasma.github.io/Logging_0665/kartor/A 4015-2023 karta.png", "A 4015-2023")</f>
        <v/>
      </c>
      <c r="V176">
        <f>HYPERLINK("https://klasma.github.io/Logging_0665/klagomål/A 4015-2023 FSC-klagomål.docx", "A 4015-2023")</f>
        <v/>
      </c>
      <c r="W176">
        <f>HYPERLINK("https://klasma.github.io/Logging_0665/klagomålsmail/A 4015-2023 FSC-klagomål mail.docx", "A 4015-2023")</f>
        <v/>
      </c>
      <c r="X176">
        <f>HYPERLINK("https://klasma.github.io/Logging_0665/tillsyn/A 4015-2023 tillsynsbegäran.docx", "A 4015-2023")</f>
        <v/>
      </c>
      <c r="Y176">
        <f>HYPERLINK("https://klasma.github.io/Logging_0665/tillsynsmail/A 4015-2023 tillsynsbegäran mail.docx", "A 4015-2023")</f>
        <v/>
      </c>
    </row>
    <row r="177" ht="15" customHeight="1">
      <c r="A177" t="inlineStr">
        <is>
          <t>A 6307-2023</t>
        </is>
      </c>
      <c r="B177" s="1" t="n">
        <v>44965</v>
      </c>
      <c r="C177" s="1" t="n">
        <v>45793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Liten hornflikmossa
Revlummer</t>
        </is>
      </c>
      <c r="S177">
        <f>HYPERLINK("https://klasma.github.io/Logging_0687/artfynd/A 6307-2023 artfynd.xlsx", "A 6307-2023")</f>
        <v/>
      </c>
      <c r="T177">
        <f>HYPERLINK("https://klasma.github.io/Logging_0687/kartor/A 6307-2023 karta.png", "A 6307-2023")</f>
        <v/>
      </c>
      <c r="V177">
        <f>HYPERLINK("https://klasma.github.io/Logging_0687/klagomål/A 6307-2023 FSC-klagomål.docx", "A 6307-2023")</f>
        <v/>
      </c>
      <c r="W177">
        <f>HYPERLINK("https://klasma.github.io/Logging_0687/klagomålsmail/A 6307-2023 FSC-klagomål mail.docx", "A 6307-2023")</f>
        <v/>
      </c>
      <c r="X177">
        <f>HYPERLINK("https://klasma.github.io/Logging_0687/tillsyn/A 6307-2023 tillsynsbegäran.docx", "A 6307-2023")</f>
        <v/>
      </c>
      <c r="Y177">
        <f>HYPERLINK("https://klasma.github.io/Logging_0687/tillsynsmail/A 6307-2023 tillsynsbegäran mail.docx", "A 6307-2023")</f>
        <v/>
      </c>
    </row>
    <row r="178" ht="15" customHeight="1">
      <c r="A178" t="inlineStr">
        <is>
          <t>A 7365-2023</t>
        </is>
      </c>
      <c r="B178" s="1" t="n">
        <v>44971</v>
      </c>
      <c r="C178" s="1" t="n">
        <v>45793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Fläcknycklar
Grönvit nattviol</t>
        </is>
      </c>
      <c r="S178">
        <f>HYPERLINK("https://klasma.github.io/Logging_0642/artfynd/A 7365-2023 artfynd.xlsx", "A 7365-2023")</f>
        <v/>
      </c>
      <c r="T178">
        <f>HYPERLINK("https://klasma.github.io/Logging_0642/kartor/A 7365-2023 karta.png", "A 7365-2023")</f>
        <v/>
      </c>
      <c r="V178">
        <f>HYPERLINK("https://klasma.github.io/Logging_0642/klagomål/A 7365-2023 FSC-klagomål.docx", "A 7365-2023")</f>
        <v/>
      </c>
      <c r="W178">
        <f>HYPERLINK("https://klasma.github.io/Logging_0642/klagomålsmail/A 7365-2023 FSC-klagomål mail.docx", "A 7365-2023")</f>
        <v/>
      </c>
      <c r="X178">
        <f>HYPERLINK("https://klasma.github.io/Logging_0642/tillsyn/A 7365-2023 tillsynsbegäran.docx", "A 7365-2023")</f>
        <v/>
      </c>
      <c r="Y178">
        <f>HYPERLINK("https://klasma.github.io/Logging_0642/tillsynsmail/A 7365-2023 tillsynsbegäran mail.docx", "A 7365-2023")</f>
        <v/>
      </c>
    </row>
    <row r="179" ht="15" customHeight="1">
      <c r="A179" t="inlineStr">
        <is>
          <t>A 10991-2023</t>
        </is>
      </c>
      <c r="B179" s="1" t="n">
        <v>44991</v>
      </c>
      <c r="C179" s="1" t="n">
        <v>45793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Gulnål
Kornig nållav</t>
        </is>
      </c>
      <c r="S179">
        <f>HYPERLINK("https://klasma.github.io/Logging_0680/artfynd/A 10991-2023 artfynd.xlsx", "A 10991-2023")</f>
        <v/>
      </c>
      <c r="T179">
        <f>HYPERLINK("https://klasma.github.io/Logging_0680/kartor/A 10991-2023 karta.png", "A 10991-2023")</f>
        <v/>
      </c>
      <c r="V179">
        <f>HYPERLINK("https://klasma.github.io/Logging_0680/klagomål/A 10991-2023 FSC-klagomål.docx", "A 10991-2023")</f>
        <v/>
      </c>
      <c r="W179">
        <f>HYPERLINK("https://klasma.github.io/Logging_0680/klagomålsmail/A 10991-2023 FSC-klagomål mail.docx", "A 10991-2023")</f>
        <v/>
      </c>
      <c r="X179">
        <f>HYPERLINK("https://klasma.github.io/Logging_0680/tillsyn/A 10991-2023 tillsynsbegäran.docx", "A 10991-2023")</f>
        <v/>
      </c>
      <c r="Y179">
        <f>HYPERLINK("https://klasma.github.io/Logging_0680/tillsynsmail/A 10991-2023 tillsynsbegäran mail.docx", "A 10991-2023")</f>
        <v/>
      </c>
    </row>
    <row r="180" ht="15" customHeight="1">
      <c r="A180" t="inlineStr">
        <is>
          <t>A 14000-2023</t>
        </is>
      </c>
      <c r="B180" s="1" t="n">
        <v>45008</v>
      </c>
      <c r="C180" s="1" t="n">
        <v>45793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Backtimjan
Strutbräken</t>
        </is>
      </c>
      <c r="S180">
        <f>HYPERLINK("https://klasma.github.io/Logging_0683/artfynd/A 14000-2023 artfynd.xlsx", "A 14000-2023")</f>
        <v/>
      </c>
      <c r="T180">
        <f>HYPERLINK("https://klasma.github.io/Logging_0683/kartor/A 14000-2023 karta.png", "A 14000-2023")</f>
        <v/>
      </c>
      <c r="V180">
        <f>HYPERLINK("https://klasma.github.io/Logging_0683/klagomål/A 14000-2023 FSC-klagomål.docx", "A 14000-2023")</f>
        <v/>
      </c>
      <c r="W180">
        <f>HYPERLINK("https://klasma.github.io/Logging_0683/klagomålsmail/A 14000-2023 FSC-klagomål mail.docx", "A 14000-2023")</f>
        <v/>
      </c>
      <c r="X180">
        <f>HYPERLINK("https://klasma.github.io/Logging_0683/tillsyn/A 14000-2023 tillsynsbegäran.docx", "A 14000-2023")</f>
        <v/>
      </c>
      <c r="Y180">
        <f>HYPERLINK("https://klasma.github.io/Logging_0683/tillsynsmail/A 14000-2023 tillsynsbegäran mail.docx", "A 14000-2023")</f>
        <v/>
      </c>
    </row>
    <row r="181" ht="15" customHeight="1">
      <c r="A181" t="inlineStr">
        <is>
          <t>A 17256-2023</t>
        </is>
      </c>
      <c r="B181" s="1" t="n">
        <v>45035</v>
      </c>
      <c r="C181" s="1" t="n">
        <v>45793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Klasefibbla
Vårärt</t>
        </is>
      </c>
      <c r="S181">
        <f>HYPERLINK("https://klasma.github.io/Logging_0685/artfynd/A 17256-2023 artfynd.xlsx", "A 17256-2023")</f>
        <v/>
      </c>
      <c r="T181">
        <f>HYPERLINK("https://klasma.github.io/Logging_0685/kartor/A 17256-2023 karta.png", "A 17256-2023")</f>
        <v/>
      </c>
      <c r="V181">
        <f>HYPERLINK("https://klasma.github.io/Logging_0685/klagomål/A 17256-2023 FSC-klagomål.docx", "A 17256-2023")</f>
        <v/>
      </c>
      <c r="W181">
        <f>HYPERLINK("https://klasma.github.io/Logging_0685/klagomålsmail/A 17256-2023 FSC-klagomål mail.docx", "A 17256-2023")</f>
        <v/>
      </c>
      <c r="X181">
        <f>HYPERLINK("https://klasma.github.io/Logging_0685/tillsyn/A 17256-2023 tillsynsbegäran.docx", "A 17256-2023")</f>
        <v/>
      </c>
      <c r="Y181">
        <f>HYPERLINK("https://klasma.github.io/Logging_0685/tillsynsmail/A 17256-2023 tillsynsbegäran mail.docx", "A 17256-2023")</f>
        <v/>
      </c>
    </row>
    <row r="182" ht="15" customHeight="1">
      <c r="A182" t="inlineStr">
        <is>
          <t>A 18733-2023</t>
        </is>
      </c>
      <c r="B182" s="1" t="n">
        <v>45043</v>
      </c>
      <c r="C182" s="1" t="n">
        <v>45793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Fläckmaskros
Månlåsbräken</t>
        </is>
      </c>
      <c r="S182">
        <f>HYPERLINK("https://klasma.github.io/Logging_0682/artfynd/A 18733-2023 artfynd.xlsx", "A 18733-2023")</f>
        <v/>
      </c>
      <c r="T182">
        <f>HYPERLINK("https://klasma.github.io/Logging_0682/kartor/A 18733-2023 karta.png", "A 18733-2023")</f>
        <v/>
      </c>
      <c r="V182">
        <f>HYPERLINK("https://klasma.github.io/Logging_0682/klagomål/A 18733-2023 FSC-klagomål.docx", "A 18733-2023")</f>
        <v/>
      </c>
      <c r="W182">
        <f>HYPERLINK("https://klasma.github.io/Logging_0682/klagomålsmail/A 18733-2023 FSC-klagomål mail.docx", "A 18733-2023")</f>
        <v/>
      </c>
      <c r="X182">
        <f>HYPERLINK("https://klasma.github.io/Logging_0682/tillsyn/A 18733-2023 tillsynsbegäran.docx", "A 18733-2023")</f>
        <v/>
      </c>
      <c r="Y182">
        <f>HYPERLINK("https://klasma.github.io/Logging_0682/tillsynsmail/A 18733-2023 tillsynsbegäran mail.docx", "A 18733-2023")</f>
        <v/>
      </c>
    </row>
    <row r="183" ht="15" customHeight="1">
      <c r="A183" t="inlineStr">
        <is>
          <t>A 19201-2023</t>
        </is>
      </c>
      <c r="B183" s="1" t="n">
        <v>45048</v>
      </c>
      <c r="C183" s="1" t="n">
        <v>45793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Backsippa
Kryddspindling</t>
        </is>
      </c>
      <c r="S183">
        <f>HYPERLINK("https://klasma.github.io/Logging_0685/artfynd/A 19201-2023 artfynd.xlsx", "A 19201-2023")</f>
        <v/>
      </c>
      <c r="T183">
        <f>HYPERLINK("https://klasma.github.io/Logging_0685/kartor/A 19201-2023 karta.png", "A 19201-2023")</f>
        <v/>
      </c>
      <c r="V183">
        <f>HYPERLINK("https://klasma.github.io/Logging_0685/klagomål/A 19201-2023 FSC-klagomål.docx", "A 19201-2023")</f>
        <v/>
      </c>
      <c r="W183">
        <f>HYPERLINK("https://klasma.github.io/Logging_0685/klagomålsmail/A 19201-2023 FSC-klagomål mail.docx", "A 19201-2023")</f>
        <v/>
      </c>
      <c r="X183">
        <f>HYPERLINK("https://klasma.github.io/Logging_0685/tillsyn/A 19201-2023 tillsynsbegäran.docx", "A 19201-2023")</f>
        <v/>
      </c>
      <c r="Y183">
        <f>HYPERLINK("https://klasma.github.io/Logging_0685/tillsynsmail/A 19201-2023 tillsynsbegäran mail.docx", "A 19201-2023")</f>
        <v/>
      </c>
    </row>
    <row r="184" ht="15" customHeight="1">
      <c r="A184" t="inlineStr">
        <is>
          <t>A 20756-2023</t>
        </is>
      </c>
      <c r="B184" s="1" t="n">
        <v>45058</v>
      </c>
      <c r="C184" s="1" t="n">
        <v>45793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Naverlönn
Åkerkål</t>
        </is>
      </c>
      <c r="S184">
        <f>HYPERLINK("https://klasma.github.io/Logging_0680/artfynd/A 20756-2023 artfynd.xlsx", "A 20756-2023")</f>
        <v/>
      </c>
      <c r="T184">
        <f>HYPERLINK("https://klasma.github.io/Logging_0680/kartor/A 20756-2023 karta.png", "A 20756-2023")</f>
        <v/>
      </c>
      <c r="V184">
        <f>HYPERLINK("https://klasma.github.io/Logging_0680/klagomål/A 20756-2023 FSC-klagomål.docx", "A 20756-2023")</f>
        <v/>
      </c>
      <c r="W184">
        <f>HYPERLINK("https://klasma.github.io/Logging_0680/klagomålsmail/A 20756-2023 FSC-klagomål mail.docx", "A 20756-2023")</f>
        <v/>
      </c>
      <c r="X184">
        <f>HYPERLINK("https://klasma.github.io/Logging_0680/tillsyn/A 20756-2023 tillsynsbegäran.docx", "A 20756-2023")</f>
        <v/>
      </c>
      <c r="Y184">
        <f>HYPERLINK("https://klasma.github.io/Logging_0680/tillsynsmail/A 20756-2023 tillsynsbegäran mail.docx", "A 20756-2023")</f>
        <v/>
      </c>
    </row>
    <row r="185" ht="15" customHeight="1">
      <c r="A185" t="inlineStr">
        <is>
          <t>A 22167-2023</t>
        </is>
      </c>
      <c r="B185" s="1" t="n">
        <v>45069</v>
      </c>
      <c r="C185" s="1" t="n">
        <v>45793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Aprikosfingersvamp
Ängsfingersvamp</t>
        </is>
      </c>
      <c r="S185">
        <f>HYPERLINK("https://klasma.github.io/Logging_0684/artfynd/A 22167-2023 artfynd.xlsx", "A 22167-2023")</f>
        <v/>
      </c>
      <c r="T185">
        <f>HYPERLINK("https://klasma.github.io/Logging_0684/kartor/A 22167-2023 karta.png", "A 22167-2023")</f>
        <v/>
      </c>
      <c r="V185">
        <f>HYPERLINK("https://klasma.github.io/Logging_0684/klagomål/A 22167-2023 FSC-klagomål.docx", "A 22167-2023")</f>
        <v/>
      </c>
      <c r="W185">
        <f>HYPERLINK("https://klasma.github.io/Logging_0684/klagomålsmail/A 22167-2023 FSC-klagomål mail.docx", "A 22167-2023")</f>
        <v/>
      </c>
      <c r="X185">
        <f>HYPERLINK("https://klasma.github.io/Logging_0684/tillsyn/A 22167-2023 tillsynsbegäran.docx", "A 22167-2023")</f>
        <v/>
      </c>
      <c r="Y185">
        <f>HYPERLINK("https://klasma.github.io/Logging_0684/tillsynsmail/A 22167-2023 tillsynsbegäran mail.docx", "A 22167-2023")</f>
        <v/>
      </c>
    </row>
    <row r="186" ht="15" customHeight="1">
      <c r="A186" t="inlineStr">
        <is>
          <t>A 28096-2023</t>
        </is>
      </c>
      <c r="B186" s="1" t="n">
        <v>45099</v>
      </c>
      <c r="C186" s="1" t="n">
        <v>45793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HYPERLINK("https://klasma.github.io/Logging_0683/artfynd/A 28096-2023 artfynd.xlsx", "A 28096-2023")</f>
        <v/>
      </c>
      <c r="T186">
        <f>HYPERLINK("https://klasma.github.io/Logging_0683/kartor/A 28096-2023 karta.png", "A 28096-2023")</f>
        <v/>
      </c>
      <c r="V186">
        <f>HYPERLINK("https://klasma.github.io/Logging_0683/klagomål/A 28096-2023 FSC-klagomål.docx", "A 28096-2023")</f>
        <v/>
      </c>
      <c r="W186">
        <f>HYPERLINK("https://klasma.github.io/Logging_0683/klagomålsmail/A 28096-2023 FSC-klagomål mail.docx", "A 28096-2023")</f>
        <v/>
      </c>
      <c r="X186">
        <f>HYPERLINK("https://klasma.github.io/Logging_0683/tillsyn/A 28096-2023 tillsynsbegäran.docx", "A 28096-2023")</f>
        <v/>
      </c>
      <c r="Y186">
        <f>HYPERLINK("https://klasma.github.io/Logging_0683/tillsynsmail/A 28096-2023 tillsynsbegäran mail.docx", "A 28096-2023")</f>
        <v/>
      </c>
    </row>
    <row r="187" ht="15" customHeight="1">
      <c r="A187" t="inlineStr">
        <is>
          <t>A 28929-2023</t>
        </is>
      </c>
      <c r="B187" s="1" t="n">
        <v>45104</v>
      </c>
      <c r="C187" s="1" t="n">
        <v>45793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11.8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Västlig hakmossa
Nattviol</t>
        </is>
      </c>
      <c r="S187">
        <f>HYPERLINK("https://klasma.github.io/Logging_0665/artfynd/A 28929-2023 artfynd.xlsx", "A 28929-2023")</f>
        <v/>
      </c>
      <c r="T187">
        <f>HYPERLINK("https://klasma.github.io/Logging_0665/kartor/A 28929-2023 karta.png", "A 28929-2023")</f>
        <v/>
      </c>
      <c r="V187">
        <f>HYPERLINK("https://klasma.github.io/Logging_0665/klagomål/A 28929-2023 FSC-klagomål.docx", "A 28929-2023")</f>
        <v/>
      </c>
      <c r="W187">
        <f>HYPERLINK("https://klasma.github.io/Logging_0665/klagomålsmail/A 28929-2023 FSC-klagomål mail.docx", "A 28929-2023")</f>
        <v/>
      </c>
      <c r="X187">
        <f>HYPERLINK("https://klasma.github.io/Logging_0665/tillsyn/A 28929-2023 tillsynsbegäran.docx", "A 28929-2023")</f>
        <v/>
      </c>
      <c r="Y187">
        <f>HYPERLINK("https://klasma.github.io/Logging_0665/tillsynsmail/A 28929-2023 tillsynsbegäran mail.docx", "A 28929-2023")</f>
        <v/>
      </c>
    </row>
    <row r="188" ht="15" customHeight="1">
      <c r="A188" t="inlineStr">
        <is>
          <t>A 29486-2023</t>
        </is>
      </c>
      <c r="B188" s="1" t="n">
        <v>45106</v>
      </c>
      <c r="C188" s="1" t="n">
        <v>45793</v>
      </c>
      <c r="D188" t="inlineStr">
        <is>
          <t>JÖNKÖPINGS LÄN</t>
        </is>
      </c>
      <c r="E188" t="inlineStr">
        <is>
          <t>TRANÅS</t>
        </is>
      </c>
      <c r="G188" t="n">
        <v>4.3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Åkerrättika
Klofibbla</t>
        </is>
      </c>
      <c r="S188">
        <f>HYPERLINK("https://klasma.github.io/Logging_0687/artfynd/A 29486-2023 artfynd.xlsx", "A 29486-2023")</f>
        <v/>
      </c>
      <c r="T188">
        <f>HYPERLINK("https://klasma.github.io/Logging_0687/kartor/A 29486-2023 karta.png", "A 29486-2023")</f>
        <v/>
      </c>
      <c r="V188">
        <f>HYPERLINK("https://klasma.github.io/Logging_0687/klagomål/A 29486-2023 FSC-klagomål.docx", "A 29486-2023")</f>
        <v/>
      </c>
      <c r="W188">
        <f>HYPERLINK("https://klasma.github.io/Logging_0687/klagomålsmail/A 29486-2023 FSC-klagomål mail.docx", "A 29486-2023")</f>
        <v/>
      </c>
      <c r="X188">
        <f>HYPERLINK("https://klasma.github.io/Logging_0687/tillsyn/A 29486-2023 tillsynsbegäran.docx", "A 29486-2023")</f>
        <v/>
      </c>
      <c r="Y188">
        <f>HYPERLINK("https://klasma.github.io/Logging_0687/tillsynsmail/A 29486-2023 tillsynsbegäran mail.docx", "A 29486-2023")</f>
        <v/>
      </c>
    </row>
    <row r="189" ht="15" customHeight="1">
      <c r="A189" t="inlineStr">
        <is>
          <t>A 29448-2023</t>
        </is>
      </c>
      <c r="B189" s="1" t="n">
        <v>45106</v>
      </c>
      <c r="C189" s="1" t="n">
        <v>45793</v>
      </c>
      <c r="D189" t="inlineStr">
        <is>
          <t>JÖNKÖPINGS LÄN</t>
        </is>
      </c>
      <c r="E189" t="inlineStr">
        <is>
          <t>HABO</t>
        </is>
      </c>
      <c r="G189" t="n">
        <v>4.6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Sexfläckig bastardsvärmare
Guldlockmossa</t>
        </is>
      </c>
      <c r="S189">
        <f>HYPERLINK("https://klasma.github.io/Logging_0643/artfynd/A 29448-2023 artfynd.xlsx", "A 29448-2023")</f>
        <v/>
      </c>
      <c r="T189">
        <f>HYPERLINK("https://klasma.github.io/Logging_0643/kartor/A 29448-2023 karta.png", "A 29448-2023")</f>
        <v/>
      </c>
      <c r="V189">
        <f>HYPERLINK("https://klasma.github.io/Logging_0643/klagomål/A 29448-2023 FSC-klagomål.docx", "A 29448-2023")</f>
        <v/>
      </c>
      <c r="W189">
        <f>HYPERLINK("https://klasma.github.io/Logging_0643/klagomålsmail/A 29448-2023 FSC-klagomål mail.docx", "A 29448-2023")</f>
        <v/>
      </c>
      <c r="X189">
        <f>HYPERLINK("https://klasma.github.io/Logging_0643/tillsyn/A 29448-2023 tillsynsbegäran.docx", "A 29448-2023")</f>
        <v/>
      </c>
      <c r="Y189">
        <f>HYPERLINK("https://klasma.github.io/Logging_0643/tillsynsmail/A 29448-2023 tillsynsbegäran mail.docx", "A 29448-2023")</f>
        <v/>
      </c>
    </row>
    <row r="190" ht="15" customHeight="1">
      <c r="A190" t="inlineStr">
        <is>
          <t>A 30125-2023</t>
        </is>
      </c>
      <c r="B190" s="1" t="n">
        <v>45110</v>
      </c>
      <c r="C190" s="1" t="n">
        <v>45793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14.3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Vedskivlav
Revlummer</t>
        </is>
      </c>
      <c r="S190">
        <f>HYPERLINK("https://klasma.github.io/Logging_0686/artfynd/A 30125-2023 artfynd.xlsx", "A 30125-2023")</f>
        <v/>
      </c>
      <c r="T190">
        <f>HYPERLINK("https://klasma.github.io/Logging_0686/kartor/A 30125-2023 karta.png", "A 30125-2023")</f>
        <v/>
      </c>
      <c r="V190">
        <f>HYPERLINK("https://klasma.github.io/Logging_0686/klagomål/A 30125-2023 FSC-klagomål.docx", "A 30125-2023")</f>
        <v/>
      </c>
      <c r="W190">
        <f>HYPERLINK("https://klasma.github.io/Logging_0686/klagomålsmail/A 30125-2023 FSC-klagomål mail.docx", "A 30125-2023")</f>
        <v/>
      </c>
      <c r="X190">
        <f>HYPERLINK("https://klasma.github.io/Logging_0686/tillsyn/A 30125-2023 tillsynsbegäran.docx", "A 30125-2023")</f>
        <v/>
      </c>
      <c r="Y190">
        <f>HYPERLINK("https://klasma.github.io/Logging_0686/tillsynsmail/A 30125-2023 tillsynsbegäran mail.docx", "A 30125-2023")</f>
        <v/>
      </c>
    </row>
    <row r="191" ht="15" customHeight="1">
      <c r="A191" t="inlineStr">
        <is>
          <t>A 40296-2023</t>
        </is>
      </c>
      <c r="B191" s="1" t="n">
        <v>45169</v>
      </c>
      <c r="C191" s="1" t="n">
        <v>45793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Blomkålssvamp</t>
        </is>
      </c>
      <c r="S191">
        <f>HYPERLINK("https://klasma.github.io/Logging_0680/artfynd/A 40296-2023 artfynd.xlsx", "A 40296-2023")</f>
        <v/>
      </c>
      <c r="T191">
        <f>HYPERLINK("https://klasma.github.io/Logging_0680/kartor/A 40296-2023 karta.png", "A 40296-2023")</f>
        <v/>
      </c>
      <c r="U191">
        <f>HYPERLINK("https://klasma.github.io/Logging_0680/knärot/A 40296-2023 karta knärot.png", "A 40296-2023")</f>
        <v/>
      </c>
      <c r="V191">
        <f>HYPERLINK("https://klasma.github.io/Logging_0680/klagomål/A 40296-2023 FSC-klagomål.docx", "A 40296-2023")</f>
        <v/>
      </c>
      <c r="W191">
        <f>HYPERLINK("https://klasma.github.io/Logging_0680/klagomålsmail/A 40296-2023 FSC-klagomål mail.docx", "A 40296-2023")</f>
        <v/>
      </c>
      <c r="X191">
        <f>HYPERLINK("https://klasma.github.io/Logging_0680/tillsyn/A 40296-2023 tillsynsbegäran.docx", "A 40296-2023")</f>
        <v/>
      </c>
      <c r="Y191">
        <f>HYPERLINK("https://klasma.github.io/Logging_0680/tillsynsmail/A 40296-2023 tillsynsbegäran mail.docx", "A 40296-2023")</f>
        <v/>
      </c>
    </row>
    <row r="192" ht="15" customHeight="1">
      <c r="A192" t="inlineStr">
        <is>
          <t>A 41315-2023</t>
        </is>
      </c>
      <c r="B192" s="1" t="n">
        <v>45174</v>
      </c>
      <c r="C192" s="1" t="n">
        <v>45793</v>
      </c>
      <c r="D192" t="inlineStr">
        <is>
          <t>JÖNKÖPINGS LÄN</t>
        </is>
      </c>
      <c r="E192" t="inlineStr">
        <is>
          <t>EKSJÖ</t>
        </is>
      </c>
      <c r="G192" t="n">
        <v>6.9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HYPERLINK("https://klasma.github.io/Logging_0686/artfynd/A 41315-2023 artfynd.xlsx", "A 41315-2023")</f>
        <v/>
      </c>
      <c r="T192">
        <f>HYPERLINK("https://klasma.github.io/Logging_0686/kartor/A 41315-2023 karta.png", "A 41315-2023")</f>
        <v/>
      </c>
      <c r="V192">
        <f>HYPERLINK("https://klasma.github.io/Logging_0686/klagomål/A 41315-2023 FSC-klagomål.docx", "A 41315-2023")</f>
        <v/>
      </c>
      <c r="W192">
        <f>HYPERLINK("https://klasma.github.io/Logging_0686/klagomålsmail/A 41315-2023 FSC-klagomål mail.docx", "A 41315-2023")</f>
        <v/>
      </c>
      <c r="X192">
        <f>HYPERLINK("https://klasma.github.io/Logging_0686/tillsyn/A 41315-2023 tillsynsbegäran.docx", "A 41315-2023")</f>
        <v/>
      </c>
      <c r="Y192">
        <f>HYPERLINK("https://klasma.github.io/Logging_0686/tillsynsmail/A 41315-2023 tillsynsbegäran mail.docx", "A 41315-2023")</f>
        <v/>
      </c>
    </row>
    <row r="193" ht="15" customHeight="1">
      <c r="A193" t="inlineStr">
        <is>
          <t>A 43195-2023</t>
        </is>
      </c>
      <c r="B193" s="1" t="n">
        <v>45183</v>
      </c>
      <c r="C193" s="1" t="n">
        <v>45793</v>
      </c>
      <c r="D193" t="inlineStr">
        <is>
          <t>JÖNKÖPINGS LÄN</t>
        </is>
      </c>
      <c r="E193" t="inlineStr">
        <is>
          <t>VETLANDA</t>
        </is>
      </c>
      <c r="G193" t="n">
        <v>11.9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HYPERLINK("https://klasma.github.io/Logging_0685/artfynd/A 43195-2023 artfynd.xlsx", "A 43195-2023")</f>
        <v/>
      </c>
      <c r="T193">
        <f>HYPERLINK("https://klasma.github.io/Logging_0685/kartor/A 43195-2023 karta.png", "A 43195-2023")</f>
        <v/>
      </c>
      <c r="U193">
        <f>HYPERLINK("https://klasma.github.io/Logging_0685/knärot/A 43195-2023 karta knärot.png", "A 43195-2023")</f>
        <v/>
      </c>
      <c r="V193">
        <f>HYPERLINK("https://klasma.github.io/Logging_0685/klagomål/A 43195-2023 FSC-klagomål.docx", "A 43195-2023")</f>
        <v/>
      </c>
      <c r="W193">
        <f>HYPERLINK("https://klasma.github.io/Logging_0685/klagomålsmail/A 43195-2023 FSC-klagomål mail.docx", "A 43195-2023")</f>
        <v/>
      </c>
      <c r="X193">
        <f>HYPERLINK("https://klasma.github.io/Logging_0685/tillsyn/A 43195-2023 tillsynsbegäran.docx", "A 43195-2023")</f>
        <v/>
      </c>
      <c r="Y193">
        <f>HYPERLINK("https://klasma.github.io/Logging_0685/tillsynsmail/A 43195-2023 tillsynsbegäran mail.docx", "A 43195-2023")</f>
        <v/>
      </c>
      <c r="Z193">
        <f>HYPERLINK("https://klasma.github.io/Logging_0685/fåglar/A 43195-2023 prioriterade fågelarter.docx", "A 43195-2023")</f>
        <v/>
      </c>
    </row>
    <row r="194" ht="15" customHeight="1">
      <c r="A194" t="inlineStr">
        <is>
          <t>A 48393-2023</t>
        </is>
      </c>
      <c r="B194" s="1" t="n">
        <v>45201</v>
      </c>
      <c r="C194" s="1" t="n">
        <v>45793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5.3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Björktrast
Röd glada</t>
        </is>
      </c>
      <c r="S194">
        <f>HYPERLINK("https://klasma.github.io/Logging_0685/artfynd/A 48393-2023 artfynd.xlsx", "A 48393-2023")</f>
        <v/>
      </c>
      <c r="T194">
        <f>HYPERLINK("https://klasma.github.io/Logging_0685/kartor/A 48393-2023 karta.png", "A 48393-2023")</f>
        <v/>
      </c>
      <c r="V194">
        <f>HYPERLINK("https://klasma.github.io/Logging_0685/klagomål/A 48393-2023 FSC-klagomål.docx", "A 48393-2023")</f>
        <v/>
      </c>
      <c r="W194">
        <f>HYPERLINK("https://klasma.github.io/Logging_0685/klagomålsmail/A 48393-2023 FSC-klagomål mail.docx", "A 48393-2023")</f>
        <v/>
      </c>
      <c r="X194">
        <f>HYPERLINK("https://klasma.github.io/Logging_0685/tillsyn/A 48393-2023 tillsynsbegäran.docx", "A 48393-2023")</f>
        <v/>
      </c>
      <c r="Y194">
        <f>HYPERLINK("https://klasma.github.io/Logging_0685/tillsynsmail/A 48393-2023 tillsynsbegäran mail.docx", "A 48393-2023")</f>
        <v/>
      </c>
      <c r="Z194">
        <f>HYPERLINK("https://klasma.github.io/Logging_0685/fåglar/A 48393-2023 prioriterade fågelarter.docx", "A 48393-2023")</f>
        <v/>
      </c>
    </row>
    <row r="195" ht="15" customHeight="1">
      <c r="A195" t="inlineStr">
        <is>
          <t>A 50867-2023</t>
        </is>
      </c>
      <c r="B195" s="1" t="n">
        <v>45218</v>
      </c>
      <c r="C195" s="1" t="n">
        <v>45793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HYPERLINK("https://klasma.github.io/Logging_0685/artfynd/A 50867-2023 artfynd.xlsx", "A 50867-2023")</f>
        <v/>
      </c>
      <c r="T195">
        <f>HYPERLINK("https://klasma.github.io/Logging_0685/kartor/A 50867-2023 karta.png", "A 50867-2023")</f>
        <v/>
      </c>
      <c r="U195">
        <f>HYPERLINK("https://klasma.github.io/Logging_0685/knärot/A 50867-2023 karta knärot.png", "A 50867-2023")</f>
        <v/>
      </c>
      <c r="V195">
        <f>HYPERLINK("https://klasma.github.io/Logging_0685/klagomål/A 50867-2023 FSC-klagomål.docx", "A 50867-2023")</f>
        <v/>
      </c>
      <c r="W195">
        <f>HYPERLINK("https://klasma.github.io/Logging_0685/klagomålsmail/A 50867-2023 FSC-klagomål mail.docx", "A 50867-2023")</f>
        <v/>
      </c>
      <c r="X195">
        <f>HYPERLINK("https://klasma.github.io/Logging_0685/tillsyn/A 50867-2023 tillsynsbegäran.docx", "A 50867-2023")</f>
        <v/>
      </c>
      <c r="Y195">
        <f>HYPERLINK("https://klasma.github.io/Logging_0685/tillsynsmail/A 50867-2023 tillsynsbegäran mail.docx", "A 50867-2023")</f>
        <v/>
      </c>
    </row>
    <row r="196" ht="15" customHeight="1">
      <c r="A196" t="inlineStr">
        <is>
          <t>A 52032-2023</t>
        </is>
      </c>
      <c r="B196" s="1" t="n">
        <v>45223</v>
      </c>
      <c r="C196" s="1" t="n">
        <v>45793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Fläcknycklar
Revlummer</t>
        </is>
      </c>
      <c r="S196">
        <f>HYPERLINK("https://klasma.github.io/Logging_0665/artfynd/A 52032-2023 artfynd.xlsx", "A 52032-2023")</f>
        <v/>
      </c>
      <c r="T196">
        <f>HYPERLINK("https://klasma.github.io/Logging_0665/kartor/A 52032-2023 karta.png", "A 52032-2023")</f>
        <v/>
      </c>
      <c r="V196">
        <f>HYPERLINK("https://klasma.github.io/Logging_0665/klagomål/A 52032-2023 FSC-klagomål.docx", "A 52032-2023")</f>
        <v/>
      </c>
      <c r="W196">
        <f>HYPERLINK("https://klasma.github.io/Logging_0665/klagomålsmail/A 52032-2023 FSC-klagomål mail.docx", "A 52032-2023")</f>
        <v/>
      </c>
      <c r="X196">
        <f>HYPERLINK("https://klasma.github.io/Logging_0665/tillsyn/A 52032-2023 tillsynsbegäran.docx", "A 52032-2023")</f>
        <v/>
      </c>
      <c r="Y196">
        <f>HYPERLINK("https://klasma.github.io/Logging_0665/tillsynsmail/A 52032-2023 tillsynsbegäran mail.docx", "A 52032-2023")</f>
        <v/>
      </c>
    </row>
    <row r="197" ht="15" customHeight="1">
      <c r="A197" t="inlineStr">
        <is>
          <t>A 64978-2023</t>
        </is>
      </c>
      <c r="B197" s="1" t="n">
        <v>45285</v>
      </c>
      <c r="C197" s="1" t="n">
        <v>45793</v>
      </c>
      <c r="D197" t="inlineStr">
        <is>
          <t>JÖNKÖPINGS LÄN</t>
        </is>
      </c>
      <c r="E197" t="inlineStr">
        <is>
          <t>EKSJÖ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Blåsippa</t>
        </is>
      </c>
      <c r="S197">
        <f>HYPERLINK("https://klasma.github.io/Logging_0686/artfynd/A 64978-2023 artfynd.xlsx", "A 64978-2023")</f>
        <v/>
      </c>
      <c r="T197">
        <f>HYPERLINK("https://klasma.github.io/Logging_0686/kartor/A 64978-2023 karta.png", "A 64978-2023")</f>
        <v/>
      </c>
      <c r="V197">
        <f>HYPERLINK("https://klasma.github.io/Logging_0686/klagomål/A 64978-2023 FSC-klagomål.docx", "A 64978-2023")</f>
        <v/>
      </c>
      <c r="W197">
        <f>HYPERLINK("https://klasma.github.io/Logging_0686/klagomålsmail/A 64978-2023 FSC-klagomål mail.docx", "A 64978-2023")</f>
        <v/>
      </c>
      <c r="X197">
        <f>HYPERLINK("https://klasma.github.io/Logging_0686/tillsyn/A 64978-2023 tillsynsbegäran.docx", "A 64978-2023")</f>
        <v/>
      </c>
      <c r="Y197">
        <f>HYPERLINK("https://klasma.github.io/Logging_0686/tillsynsmail/A 64978-2023 tillsynsbegäran mail.docx", "A 64978-2023")</f>
        <v/>
      </c>
    </row>
    <row r="198" ht="15" customHeight="1">
      <c r="A198" t="inlineStr">
        <is>
          <t>A 1235-2024</t>
        </is>
      </c>
      <c r="B198" s="1" t="n">
        <v>45302</v>
      </c>
      <c r="C198" s="1" t="n">
        <v>45793</v>
      </c>
      <c r="D198" t="inlineStr">
        <is>
          <t>JÖNKÖPINGS LÄN</t>
        </is>
      </c>
      <c r="E198" t="inlineStr">
        <is>
          <t>JÖNKÖPING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Lakritsmusseron
Dropptaggsvamp</t>
        </is>
      </c>
      <c r="S198">
        <f>HYPERLINK("https://klasma.github.io/Logging_0680/artfynd/A 1235-2024 artfynd.xlsx", "A 1235-2024")</f>
        <v/>
      </c>
      <c r="T198">
        <f>HYPERLINK("https://klasma.github.io/Logging_0680/kartor/A 1235-2024 karta.png", "A 1235-2024")</f>
        <v/>
      </c>
      <c r="V198">
        <f>HYPERLINK("https://klasma.github.io/Logging_0680/klagomål/A 1235-2024 FSC-klagomål.docx", "A 1235-2024")</f>
        <v/>
      </c>
      <c r="W198">
        <f>HYPERLINK("https://klasma.github.io/Logging_0680/klagomålsmail/A 1235-2024 FSC-klagomål mail.docx", "A 1235-2024")</f>
        <v/>
      </c>
      <c r="X198">
        <f>HYPERLINK("https://klasma.github.io/Logging_0680/tillsyn/A 1235-2024 tillsynsbegäran.docx", "A 1235-2024")</f>
        <v/>
      </c>
      <c r="Y198">
        <f>HYPERLINK("https://klasma.github.io/Logging_0680/tillsynsmail/A 1235-2024 tillsynsbegäran mail.docx", "A 1235-2024")</f>
        <v/>
      </c>
    </row>
    <row r="199" ht="15" customHeight="1">
      <c r="A199" t="inlineStr">
        <is>
          <t>A 4438-2024</t>
        </is>
      </c>
      <c r="B199" s="1" t="n">
        <v>45327</v>
      </c>
      <c r="C199" s="1" t="n">
        <v>45793</v>
      </c>
      <c r="D199" t="inlineStr">
        <is>
          <t>JÖNKÖPINGS LÄN</t>
        </is>
      </c>
      <c r="E199" t="inlineStr">
        <is>
          <t>VÄRNAMO</t>
        </is>
      </c>
      <c r="G199" t="n">
        <v>12.6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Stor revmossa
Västlig hakmossa</t>
        </is>
      </c>
      <c r="S199">
        <f>HYPERLINK("https://klasma.github.io/Logging_0683/artfynd/A 4438-2024 artfynd.xlsx", "A 4438-2024")</f>
        <v/>
      </c>
      <c r="T199">
        <f>HYPERLINK("https://klasma.github.io/Logging_0683/kartor/A 4438-2024 karta.png", "A 4438-2024")</f>
        <v/>
      </c>
      <c r="V199">
        <f>HYPERLINK("https://klasma.github.io/Logging_0683/klagomål/A 4438-2024 FSC-klagomål.docx", "A 4438-2024")</f>
        <v/>
      </c>
      <c r="W199">
        <f>HYPERLINK("https://klasma.github.io/Logging_0683/klagomålsmail/A 4438-2024 FSC-klagomål mail.docx", "A 4438-2024")</f>
        <v/>
      </c>
      <c r="X199">
        <f>HYPERLINK("https://klasma.github.io/Logging_0683/tillsyn/A 4438-2024 tillsynsbegäran.docx", "A 4438-2024")</f>
        <v/>
      </c>
      <c r="Y199">
        <f>HYPERLINK("https://klasma.github.io/Logging_0683/tillsynsmail/A 4438-2024 tillsynsbegäran mail.docx", "A 4438-2024")</f>
        <v/>
      </c>
    </row>
    <row r="200" ht="15" customHeight="1">
      <c r="A200" t="inlineStr">
        <is>
          <t>A 9221-2024</t>
        </is>
      </c>
      <c r="B200" s="1" t="n">
        <v>45358</v>
      </c>
      <c r="C200" s="1" t="n">
        <v>45793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HYPERLINK("https://klasma.github.io/Logging_0680/artfynd/A 9221-2024 artfynd.xlsx", "A 9221-2024")</f>
        <v/>
      </c>
      <c r="T200">
        <f>HYPERLINK("https://klasma.github.io/Logging_0680/kartor/A 9221-2024 karta.png", "A 9221-2024")</f>
        <v/>
      </c>
      <c r="V200">
        <f>HYPERLINK("https://klasma.github.io/Logging_0680/klagomål/A 9221-2024 FSC-klagomål.docx", "A 9221-2024")</f>
        <v/>
      </c>
      <c r="W200">
        <f>HYPERLINK("https://klasma.github.io/Logging_0680/klagomålsmail/A 9221-2024 FSC-klagomål mail.docx", "A 9221-2024")</f>
        <v/>
      </c>
      <c r="X200">
        <f>HYPERLINK("https://klasma.github.io/Logging_0680/tillsyn/A 9221-2024 tillsynsbegäran.docx", "A 9221-2024")</f>
        <v/>
      </c>
      <c r="Y200">
        <f>HYPERLINK("https://klasma.github.io/Logging_0680/tillsynsmail/A 9221-2024 tillsynsbegäran mail.docx", "A 9221-2024")</f>
        <v/>
      </c>
    </row>
    <row r="201" ht="15" customHeight="1">
      <c r="A201" t="inlineStr">
        <is>
          <t>A 13323-2024</t>
        </is>
      </c>
      <c r="B201" s="1" t="n">
        <v>45386</v>
      </c>
      <c r="C201" s="1" t="n">
        <v>45793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Vanlig snok</t>
        </is>
      </c>
      <c r="S201">
        <f>HYPERLINK("https://klasma.github.io/Logging_0685/artfynd/A 13323-2024 artfynd.xlsx", "A 13323-2024")</f>
        <v/>
      </c>
      <c r="T201">
        <f>HYPERLINK("https://klasma.github.io/Logging_0685/kartor/A 13323-2024 karta.png", "A 13323-2024")</f>
        <v/>
      </c>
      <c r="U201">
        <f>HYPERLINK("https://klasma.github.io/Logging_0685/knärot/A 13323-2024 karta knärot.png", "A 13323-2024")</f>
        <v/>
      </c>
      <c r="V201">
        <f>HYPERLINK("https://klasma.github.io/Logging_0685/klagomål/A 13323-2024 FSC-klagomål.docx", "A 13323-2024")</f>
        <v/>
      </c>
      <c r="W201">
        <f>HYPERLINK("https://klasma.github.io/Logging_0685/klagomålsmail/A 13323-2024 FSC-klagomål mail.docx", "A 13323-2024")</f>
        <v/>
      </c>
      <c r="X201">
        <f>HYPERLINK("https://klasma.github.io/Logging_0685/tillsyn/A 13323-2024 tillsynsbegäran.docx", "A 13323-2024")</f>
        <v/>
      </c>
      <c r="Y201">
        <f>HYPERLINK("https://klasma.github.io/Logging_0685/tillsynsmail/A 13323-2024 tillsynsbegäran mail.docx", "A 13323-2024")</f>
        <v/>
      </c>
    </row>
    <row r="202" ht="15" customHeight="1">
      <c r="A202" t="inlineStr">
        <is>
          <t>A 14539-2024</t>
        </is>
      </c>
      <c r="B202" s="1" t="n">
        <v>45394</v>
      </c>
      <c r="C202" s="1" t="n">
        <v>45793</v>
      </c>
      <c r="D202" t="inlineStr">
        <is>
          <t>JÖNKÖPINGS LÄN</t>
        </is>
      </c>
      <c r="E202" t="inlineStr">
        <is>
          <t>NÄSSJÖ</t>
        </is>
      </c>
      <c r="G202" t="n">
        <v>9.9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Flodsångare</t>
        </is>
      </c>
      <c r="S202">
        <f>HYPERLINK("https://klasma.github.io/Logging_0682/artfynd/A 14539-2024 artfynd.xlsx", "A 14539-2024")</f>
        <v/>
      </c>
      <c r="T202">
        <f>HYPERLINK("https://klasma.github.io/Logging_0682/kartor/A 14539-2024 karta.png", "A 14539-2024")</f>
        <v/>
      </c>
      <c r="V202">
        <f>HYPERLINK("https://klasma.github.io/Logging_0682/klagomål/A 14539-2024 FSC-klagomål.docx", "A 14539-2024")</f>
        <v/>
      </c>
      <c r="W202">
        <f>HYPERLINK("https://klasma.github.io/Logging_0682/klagomålsmail/A 14539-2024 FSC-klagomål mail.docx", "A 14539-2024")</f>
        <v/>
      </c>
      <c r="X202">
        <f>HYPERLINK("https://klasma.github.io/Logging_0682/tillsyn/A 14539-2024 tillsynsbegäran.docx", "A 14539-2024")</f>
        <v/>
      </c>
      <c r="Y202">
        <f>HYPERLINK("https://klasma.github.io/Logging_0682/tillsynsmail/A 14539-2024 tillsynsbegäran mail.docx", "A 14539-2024")</f>
        <v/>
      </c>
      <c r="Z202">
        <f>HYPERLINK("https://klasma.github.io/Logging_0682/fåglar/A 14539-2024 prioriterade fågelarter.docx", "A 14539-2024")</f>
        <v/>
      </c>
    </row>
    <row r="203" ht="15" customHeight="1">
      <c r="A203" t="inlineStr">
        <is>
          <t>A 15227-2024</t>
        </is>
      </c>
      <c r="B203" s="1" t="n">
        <v>45400</v>
      </c>
      <c r="C203" s="1" t="n">
        <v>45793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Tjäder</t>
        </is>
      </c>
      <c r="S203">
        <f>HYPERLINK("https://klasma.github.io/Logging_0662/artfynd/A 15227-2024 artfynd.xlsx", "A 15227-2024")</f>
        <v/>
      </c>
      <c r="T203">
        <f>HYPERLINK("https://klasma.github.io/Logging_0662/kartor/A 15227-2024 karta.png", "A 15227-2024")</f>
        <v/>
      </c>
      <c r="V203">
        <f>HYPERLINK("https://klasma.github.io/Logging_0662/klagomål/A 15227-2024 FSC-klagomål.docx", "A 15227-2024")</f>
        <v/>
      </c>
      <c r="W203">
        <f>HYPERLINK("https://klasma.github.io/Logging_0662/klagomålsmail/A 15227-2024 FSC-klagomål mail.docx", "A 15227-2024")</f>
        <v/>
      </c>
      <c r="X203">
        <f>HYPERLINK("https://klasma.github.io/Logging_0662/tillsyn/A 15227-2024 tillsynsbegäran.docx", "A 15227-2024")</f>
        <v/>
      </c>
      <c r="Y203">
        <f>HYPERLINK("https://klasma.github.io/Logging_0662/tillsynsmail/A 15227-2024 tillsynsbegäran mail.docx", "A 15227-2024")</f>
        <v/>
      </c>
      <c r="Z203">
        <f>HYPERLINK("https://klasma.github.io/Logging_0662/fåglar/A 15227-2024 prioriterade fågelarter.docx", "A 15227-2024")</f>
        <v/>
      </c>
    </row>
    <row r="204" ht="15" customHeight="1">
      <c r="A204" t="inlineStr">
        <is>
          <t>A 28300-2024</t>
        </is>
      </c>
      <c r="B204" s="1" t="n">
        <v>45477</v>
      </c>
      <c r="C204" s="1" t="n">
        <v>45793</v>
      </c>
      <c r="D204" t="inlineStr">
        <is>
          <t>JÖNKÖPINGS LÄN</t>
        </is>
      </c>
      <c r="E204" t="inlineStr">
        <is>
          <t>VETLANDA</t>
        </is>
      </c>
      <c r="G204" t="n">
        <v>7.9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Dropptaggsvamp</t>
        </is>
      </c>
      <c r="S204">
        <f>HYPERLINK("https://klasma.github.io/Logging_0685/artfynd/A 28300-2024 artfynd.xlsx", "A 28300-2024")</f>
        <v/>
      </c>
      <c r="T204">
        <f>HYPERLINK("https://klasma.github.io/Logging_0685/kartor/A 28300-2024 karta.png", "A 28300-2024")</f>
        <v/>
      </c>
      <c r="V204">
        <f>HYPERLINK("https://klasma.github.io/Logging_0685/klagomål/A 28300-2024 FSC-klagomål.docx", "A 28300-2024")</f>
        <v/>
      </c>
      <c r="W204">
        <f>HYPERLINK("https://klasma.github.io/Logging_0685/klagomålsmail/A 28300-2024 FSC-klagomål mail.docx", "A 28300-2024")</f>
        <v/>
      </c>
      <c r="X204">
        <f>HYPERLINK("https://klasma.github.io/Logging_0685/tillsyn/A 28300-2024 tillsynsbegäran.docx", "A 28300-2024")</f>
        <v/>
      </c>
      <c r="Y204">
        <f>HYPERLINK("https://klasma.github.io/Logging_0685/tillsynsmail/A 28300-2024 tillsynsbegäran mail.docx", "A 28300-2024")</f>
        <v/>
      </c>
      <c r="Z204">
        <f>HYPERLINK("https://klasma.github.io/Logging_0685/fåglar/A 28300-2024 prioriterade fågelarter.docx", "A 28300-2024")</f>
        <v/>
      </c>
    </row>
    <row r="205" ht="15" customHeight="1">
      <c r="A205" t="inlineStr">
        <is>
          <t>A 29356-2024</t>
        </is>
      </c>
      <c r="B205" s="1" t="n">
        <v>45483</v>
      </c>
      <c r="C205" s="1" t="n">
        <v>45793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Vätteros</t>
        </is>
      </c>
      <c r="S205">
        <f>HYPERLINK("https://klasma.github.io/Logging_0683/artfynd/A 29356-2024 artfynd.xlsx", "A 29356-2024")</f>
        <v/>
      </c>
      <c r="T205">
        <f>HYPERLINK("https://klasma.github.io/Logging_0683/kartor/A 29356-2024 karta.png", "A 29356-2024")</f>
        <v/>
      </c>
      <c r="V205">
        <f>HYPERLINK("https://klasma.github.io/Logging_0683/klagomål/A 29356-2024 FSC-klagomål.docx", "A 29356-2024")</f>
        <v/>
      </c>
      <c r="W205">
        <f>HYPERLINK("https://klasma.github.io/Logging_0683/klagomålsmail/A 29356-2024 FSC-klagomål mail.docx", "A 29356-2024")</f>
        <v/>
      </c>
      <c r="X205">
        <f>HYPERLINK("https://klasma.github.io/Logging_0683/tillsyn/A 29356-2024 tillsynsbegäran.docx", "A 29356-2024")</f>
        <v/>
      </c>
      <c r="Y205">
        <f>HYPERLINK("https://klasma.github.io/Logging_0683/tillsynsmail/A 29356-2024 tillsynsbegäran mail.docx", "A 29356-2024")</f>
        <v/>
      </c>
    </row>
    <row r="206" ht="15" customHeight="1">
      <c r="A206" t="inlineStr">
        <is>
          <t>A 30046-2024</t>
        </is>
      </c>
      <c r="B206" s="1" t="n">
        <v>45488</v>
      </c>
      <c r="C206" s="1" t="n">
        <v>45793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Nordfladdermus
Större brunfladdermus</t>
        </is>
      </c>
      <c r="S206">
        <f>HYPERLINK("https://klasma.github.io/Logging_0662/artfynd/A 30046-2024 artfynd.xlsx", "A 30046-2024")</f>
        <v/>
      </c>
      <c r="T206">
        <f>HYPERLINK("https://klasma.github.io/Logging_0662/kartor/A 30046-2024 karta.png", "A 30046-2024")</f>
        <v/>
      </c>
      <c r="V206">
        <f>HYPERLINK("https://klasma.github.io/Logging_0662/klagomål/A 30046-2024 FSC-klagomål.docx", "A 30046-2024")</f>
        <v/>
      </c>
      <c r="W206">
        <f>HYPERLINK("https://klasma.github.io/Logging_0662/klagomålsmail/A 30046-2024 FSC-klagomål mail.docx", "A 30046-2024")</f>
        <v/>
      </c>
      <c r="X206">
        <f>HYPERLINK("https://klasma.github.io/Logging_0662/tillsyn/A 30046-2024 tillsynsbegäran.docx", "A 30046-2024")</f>
        <v/>
      </c>
      <c r="Y206">
        <f>HYPERLINK("https://klasma.github.io/Logging_0662/tillsynsmail/A 30046-2024 tillsynsbegäran mail.docx", "A 30046-2024")</f>
        <v/>
      </c>
    </row>
    <row r="207" ht="15" customHeight="1">
      <c r="A207" t="inlineStr">
        <is>
          <t>A 33797-2024</t>
        </is>
      </c>
      <c r="B207" s="1" t="n">
        <v>45520</v>
      </c>
      <c r="C207" s="1" t="n">
        <v>45793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2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Vanlig groda</t>
        </is>
      </c>
      <c r="S207">
        <f>HYPERLINK("https://klasma.github.io/Logging_0685/artfynd/A 33797-2024 artfynd.xlsx", "A 33797-2024")</f>
        <v/>
      </c>
      <c r="T207">
        <f>HYPERLINK("https://klasma.github.io/Logging_0685/kartor/A 33797-2024 karta.png", "A 33797-2024")</f>
        <v/>
      </c>
      <c r="U207">
        <f>HYPERLINK("https://klasma.github.io/Logging_0685/knärot/A 33797-2024 karta knärot.png", "A 33797-2024")</f>
        <v/>
      </c>
      <c r="V207">
        <f>HYPERLINK("https://klasma.github.io/Logging_0685/klagomål/A 33797-2024 FSC-klagomål.docx", "A 33797-2024")</f>
        <v/>
      </c>
      <c r="W207">
        <f>HYPERLINK("https://klasma.github.io/Logging_0685/klagomålsmail/A 33797-2024 FSC-klagomål mail.docx", "A 33797-2024")</f>
        <v/>
      </c>
      <c r="X207">
        <f>HYPERLINK("https://klasma.github.io/Logging_0685/tillsyn/A 33797-2024 tillsynsbegäran.docx", "A 33797-2024")</f>
        <v/>
      </c>
      <c r="Y207">
        <f>HYPERLINK("https://klasma.github.io/Logging_0685/tillsynsmail/A 33797-2024 tillsynsbegäran mail.docx", "A 33797-2024")</f>
        <v/>
      </c>
    </row>
    <row r="208" ht="15" customHeight="1">
      <c r="A208" t="inlineStr">
        <is>
          <t>A 35828-2024</t>
        </is>
      </c>
      <c r="B208" s="1" t="n">
        <v>45532</v>
      </c>
      <c r="C208" s="1" t="n">
        <v>45793</v>
      </c>
      <c r="D208" t="inlineStr">
        <is>
          <t>JÖNKÖPINGS LÄN</t>
        </is>
      </c>
      <c r="E208" t="inlineStr">
        <is>
          <t>MULLSJÖ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Svinrot</t>
        </is>
      </c>
      <c r="S208">
        <f>HYPERLINK("https://klasma.github.io/Logging_0642/artfynd/A 35828-2024 artfynd.xlsx", "A 35828-2024")</f>
        <v/>
      </c>
      <c r="T208">
        <f>HYPERLINK("https://klasma.github.io/Logging_0642/kartor/A 35828-2024 karta.png", "A 35828-2024")</f>
        <v/>
      </c>
      <c r="V208">
        <f>HYPERLINK("https://klasma.github.io/Logging_0642/klagomål/A 35828-2024 FSC-klagomål.docx", "A 35828-2024")</f>
        <v/>
      </c>
      <c r="W208">
        <f>HYPERLINK("https://klasma.github.io/Logging_0642/klagomålsmail/A 35828-2024 FSC-klagomål mail.docx", "A 35828-2024")</f>
        <v/>
      </c>
      <c r="X208">
        <f>HYPERLINK("https://klasma.github.io/Logging_0642/tillsyn/A 35828-2024 tillsynsbegäran.docx", "A 35828-2024")</f>
        <v/>
      </c>
      <c r="Y208">
        <f>HYPERLINK("https://klasma.github.io/Logging_0642/tillsynsmail/A 35828-2024 tillsynsbegäran mail.docx", "A 35828-2024")</f>
        <v/>
      </c>
    </row>
    <row r="209" ht="15" customHeight="1">
      <c r="A209" t="inlineStr">
        <is>
          <t>A 37016-2024</t>
        </is>
      </c>
      <c r="B209" s="1" t="n">
        <v>45539</v>
      </c>
      <c r="C209" s="1" t="n">
        <v>45793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Vårärt</t>
        </is>
      </c>
      <c r="S209">
        <f>HYPERLINK("https://klasma.github.io/Logging_0680/artfynd/A 37016-2024 artfynd.xlsx", "A 37016-2024")</f>
        <v/>
      </c>
      <c r="T209">
        <f>HYPERLINK("https://klasma.github.io/Logging_0680/kartor/A 37016-2024 karta.png", "A 37016-2024")</f>
        <v/>
      </c>
      <c r="V209">
        <f>HYPERLINK("https://klasma.github.io/Logging_0680/klagomål/A 37016-2024 FSC-klagomål.docx", "A 37016-2024")</f>
        <v/>
      </c>
      <c r="W209">
        <f>HYPERLINK("https://klasma.github.io/Logging_0680/klagomålsmail/A 37016-2024 FSC-klagomål mail.docx", "A 37016-2024")</f>
        <v/>
      </c>
      <c r="X209">
        <f>HYPERLINK("https://klasma.github.io/Logging_0680/tillsyn/A 37016-2024 tillsynsbegäran.docx", "A 37016-2024")</f>
        <v/>
      </c>
      <c r="Y209">
        <f>HYPERLINK("https://klasma.github.io/Logging_0680/tillsynsmail/A 37016-2024 tillsynsbegäran mail.docx", "A 37016-2024")</f>
        <v/>
      </c>
    </row>
    <row r="210" ht="15" customHeight="1">
      <c r="A210" t="inlineStr">
        <is>
          <t>A 39302-2024</t>
        </is>
      </c>
      <c r="B210" s="1" t="n">
        <v>45551</v>
      </c>
      <c r="C210" s="1" t="n">
        <v>45793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Dvärgpipistrell</t>
        </is>
      </c>
      <c r="S210">
        <f>HYPERLINK("https://klasma.github.io/Logging_0685/artfynd/A 39302-2024 artfynd.xlsx", "A 39302-2024")</f>
        <v/>
      </c>
      <c r="T210">
        <f>HYPERLINK("https://klasma.github.io/Logging_0685/kartor/A 39302-2024 karta.png", "A 39302-2024")</f>
        <v/>
      </c>
      <c r="V210">
        <f>HYPERLINK("https://klasma.github.io/Logging_0685/klagomål/A 39302-2024 FSC-klagomål.docx", "A 39302-2024")</f>
        <v/>
      </c>
      <c r="W210">
        <f>HYPERLINK("https://klasma.github.io/Logging_0685/klagomålsmail/A 39302-2024 FSC-klagomål mail.docx", "A 39302-2024")</f>
        <v/>
      </c>
      <c r="X210">
        <f>HYPERLINK("https://klasma.github.io/Logging_0685/tillsyn/A 39302-2024 tillsynsbegäran.docx", "A 39302-2024")</f>
        <v/>
      </c>
      <c r="Y210">
        <f>HYPERLINK("https://klasma.github.io/Logging_0685/tillsynsmail/A 39302-2024 tillsynsbegäran mail.docx", "A 39302-2024")</f>
        <v/>
      </c>
    </row>
    <row r="211" ht="15" customHeight="1">
      <c r="A211" t="inlineStr">
        <is>
          <t>A 43324-2024</t>
        </is>
      </c>
      <c r="B211" s="1" t="n">
        <v>45568</v>
      </c>
      <c r="C211" s="1" t="n">
        <v>45793</v>
      </c>
      <c r="D211" t="inlineStr">
        <is>
          <t>JÖNKÖPINGS LÄN</t>
        </is>
      </c>
      <c r="E211" t="inlineStr">
        <is>
          <t>HABO</t>
        </is>
      </c>
      <c r="G211" t="n">
        <v>3.9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Slåtterfibbla
Blomkålssvamp</t>
        </is>
      </c>
      <c r="S211">
        <f>HYPERLINK("https://klasma.github.io/Logging_0643/artfynd/A 43324-2024 artfynd.xlsx", "A 43324-2024")</f>
        <v/>
      </c>
      <c r="T211">
        <f>HYPERLINK("https://klasma.github.io/Logging_0643/kartor/A 43324-2024 karta.png", "A 43324-2024")</f>
        <v/>
      </c>
      <c r="V211">
        <f>HYPERLINK("https://klasma.github.io/Logging_0643/klagomål/A 43324-2024 FSC-klagomål.docx", "A 43324-2024")</f>
        <v/>
      </c>
      <c r="W211">
        <f>HYPERLINK("https://klasma.github.io/Logging_0643/klagomålsmail/A 43324-2024 FSC-klagomål mail.docx", "A 43324-2024")</f>
        <v/>
      </c>
      <c r="X211">
        <f>HYPERLINK("https://klasma.github.io/Logging_0643/tillsyn/A 43324-2024 tillsynsbegäran.docx", "A 43324-2024")</f>
        <v/>
      </c>
      <c r="Y211">
        <f>HYPERLINK("https://klasma.github.io/Logging_0643/tillsynsmail/A 43324-2024 tillsynsbegäran mail.docx", "A 43324-2024")</f>
        <v/>
      </c>
    </row>
    <row r="212" ht="15" customHeight="1">
      <c r="A212" t="inlineStr">
        <is>
          <t>A 46762-2024</t>
        </is>
      </c>
      <c r="B212" s="1" t="n">
        <v>45583</v>
      </c>
      <c r="C212" s="1" t="n">
        <v>45793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Gullklöver
Spindelblomster</t>
        </is>
      </c>
      <c r="S212">
        <f>HYPERLINK("https://klasma.github.io/Logging_0686/artfynd/A 46762-2024 artfynd.xlsx", "A 46762-2024")</f>
        <v/>
      </c>
      <c r="T212">
        <f>HYPERLINK("https://klasma.github.io/Logging_0686/kartor/A 46762-2024 karta.png", "A 46762-2024")</f>
        <v/>
      </c>
      <c r="V212">
        <f>HYPERLINK("https://klasma.github.io/Logging_0686/klagomål/A 46762-2024 FSC-klagomål.docx", "A 46762-2024")</f>
        <v/>
      </c>
      <c r="W212">
        <f>HYPERLINK("https://klasma.github.io/Logging_0686/klagomålsmail/A 46762-2024 FSC-klagomål mail.docx", "A 46762-2024")</f>
        <v/>
      </c>
      <c r="X212">
        <f>HYPERLINK("https://klasma.github.io/Logging_0686/tillsyn/A 46762-2024 tillsynsbegäran.docx", "A 46762-2024")</f>
        <v/>
      </c>
      <c r="Y212">
        <f>HYPERLINK("https://klasma.github.io/Logging_0686/tillsynsmail/A 46762-2024 tillsynsbegäran mail.docx", "A 46762-2024")</f>
        <v/>
      </c>
    </row>
    <row r="213" ht="15" customHeight="1">
      <c r="A213" t="inlineStr">
        <is>
          <t>A 47483-2024</t>
        </is>
      </c>
      <c r="B213" s="1" t="n">
        <v>45587</v>
      </c>
      <c r="C213" s="1" t="n">
        <v>45793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Blåmossa</t>
        </is>
      </c>
      <c r="S213">
        <f>HYPERLINK("https://klasma.github.io/Logging_0680/artfynd/A 47483-2024 artfynd.xlsx", "A 47483-2024")</f>
        <v/>
      </c>
      <c r="T213">
        <f>HYPERLINK("https://klasma.github.io/Logging_0680/kartor/A 47483-2024 karta.png", "A 47483-2024")</f>
        <v/>
      </c>
      <c r="V213">
        <f>HYPERLINK("https://klasma.github.io/Logging_0680/klagomål/A 47483-2024 FSC-klagomål.docx", "A 47483-2024")</f>
        <v/>
      </c>
      <c r="W213">
        <f>HYPERLINK("https://klasma.github.io/Logging_0680/klagomålsmail/A 47483-2024 FSC-klagomål mail.docx", "A 47483-2024")</f>
        <v/>
      </c>
      <c r="X213">
        <f>HYPERLINK("https://klasma.github.io/Logging_0680/tillsyn/A 47483-2024 tillsynsbegäran.docx", "A 47483-2024")</f>
        <v/>
      </c>
      <c r="Y213">
        <f>HYPERLINK("https://klasma.github.io/Logging_0680/tillsynsmail/A 47483-2024 tillsynsbegäran mail.docx", "A 47483-2024")</f>
        <v/>
      </c>
    </row>
    <row r="214" ht="15" customHeight="1">
      <c r="A214" t="inlineStr">
        <is>
          <t>A 47346-2024</t>
        </is>
      </c>
      <c r="B214" s="1" t="n">
        <v>45587</v>
      </c>
      <c r="C214" s="1" t="n">
        <v>45793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Revlummer</t>
        </is>
      </c>
      <c r="S214">
        <f>HYPERLINK("https://klasma.github.io/Logging_0685/artfynd/A 47346-2024 artfynd.xlsx", "A 47346-2024")</f>
        <v/>
      </c>
      <c r="T214">
        <f>HYPERLINK("https://klasma.github.io/Logging_0685/kartor/A 47346-2024 karta.png", "A 47346-2024")</f>
        <v/>
      </c>
      <c r="V214">
        <f>HYPERLINK("https://klasma.github.io/Logging_0685/klagomål/A 47346-2024 FSC-klagomål.docx", "A 47346-2024")</f>
        <v/>
      </c>
      <c r="W214">
        <f>HYPERLINK("https://klasma.github.io/Logging_0685/klagomålsmail/A 47346-2024 FSC-klagomål mail.docx", "A 47346-2024")</f>
        <v/>
      </c>
      <c r="X214">
        <f>HYPERLINK("https://klasma.github.io/Logging_0685/tillsyn/A 47346-2024 tillsynsbegäran.docx", "A 47346-2024")</f>
        <v/>
      </c>
      <c r="Y214">
        <f>HYPERLINK("https://klasma.github.io/Logging_0685/tillsynsmail/A 47346-2024 tillsynsbegäran mail.docx", "A 47346-2024")</f>
        <v/>
      </c>
    </row>
    <row r="215" ht="15" customHeight="1">
      <c r="A215" t="inlineStr">
        <is>
          <t>A 48278-2024</t>
        </is>
      </c>
      <c r="B215" s="1" t="n">
        <v>45590</v>
      </c>
      <c r="C215" s="1" t="n">
        <v>45793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Järpe
Spillkråka</t>
        </is>
      </c>
      <c r="S215">
        <f>HYPERLINK("https://klasma.github.io/Logging_0683/artfynd/A 48278-2024 artfynd.xlsx", "A 48278-2024")</f>
        <v/>
      </c>
      <c r="T215">
        <f>HYPERLINK("https://klasma.github.io/Logging_0683/kartor/A 48278-2024 karta.png", "A 48278-2024")</f>
        <v/>
      </c>
      <c r="V215">
        <f>HYPERLINK("https://klasma.github.io/Logging_0683/klagomål/A 48278-2024 FSC-klagomål.docx", "A 48278-2024")</f>
        <v/>
      </c>
      <c r="W215">
        <f>HYPERLINK("https://klasma.github.io/Logging_0683/klagomålsmail/A 48278-2024 FSC-klagomål mail.docx", "A 48278-2024")</f>
        <v/>
      </c>
      <c r="X215">
        <f>HYPERLINK("https://klasma.github.io/Logging_0683/tillsyn/A 48278-2024 tillsynsbegäran.docx", "A 48278-2024")</f>
        <v/>
      </c>
      <c r="Y215">
        <f>HYPERLINK("https://klasma.github.io/Logging_0683/tillsynsmail/A 48278-2024 tillsynsbegäran mail.docx", "A 48278-2024")</f>
        <v/>
      </c>
      <c r="Z215">
        <f>HYPERLINK("https://klasma.github.io/Logging_0683/fåglar/A 48278-2024 prioriterade fågelarter.docx", "A 48278-2024")</f>
        <v/>
      </c>
    </row>
    <row r="216" ht="15" customHeight="1">
      <c r="A216" t="inlineStr">
        <is>
          <t>A 50033-2024</t>
        </is>
      </c>
      <c r="B216" s="1" t="n">
        <v>45599</v>
      </c>
      <c r="C216" s="1" t="n">
        <v>45793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HYPERLINK("https://klasma.github.io/Logging_0685/artfynd/A 50033-2024 artfynd.xlsx", "A 50033-2024")</f>
        <v/>
      </c>
      <c r="T216">
        <f>HYPERLINK("https://klasma.github.io/Logging_0685/kartor/A 50033-2024 karta.png", "A 50033-2024")</f>
        <v/>
      </c>
      <c r="V216">
        <f>HYPERLINK("https://klasma.github.io/Logging_0685/klagomål/A 50033-2024 FSC-klagomål.docx", "A 50033-2024")</f>
        <v/>
      </c>
      <c r="W216">
        <f>HYPERLINK("https://klasma.github.io/Logging_0685/klagomålsmail/A 50033-2024 FSC-klagomål mail.docx", "A 50033-2024")</f>
        <v/>
      </c>
      <c r="X216">
        <f>HYPERLINK("https://klasma.github.io/Logging_0685/tillsyn/A 50033-2024 tillsynsbegäran.docx", "A 50033-2024")</f>
        <v/>
      </c>
      <c r="Y216">
        <f>HYPERLINK("https://klasma.github.io/Logging_0685/tillsynsmail/A 50033-2024 tillsynsbegäran mail.docx", "A 50033-2024")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45793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45793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45793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45793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45793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45793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45793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45793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45793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45793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45793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45793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45793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45793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45793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45793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45793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45793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45793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45793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45793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45793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45793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45793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45793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45793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45793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45793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45793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45793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45793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45793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45793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45793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45793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45793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45793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45793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45793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45793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45793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45793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45793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45793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45793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45793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45793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45793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45793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45793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45793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45793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45793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45793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45793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45793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45793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45793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45793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45793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45793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45793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45793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45793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45793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45793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45793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45793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45793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45793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45793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45793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45793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45793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45793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45793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45793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45793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45793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45793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45793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45793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45793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45793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45793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45793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45793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45793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45793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45793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45793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45793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45793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45793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45793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45793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45793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45793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45793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45793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45793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45793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45793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45793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45793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45793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45793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45793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45793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45793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45793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45793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45793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45793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45793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45793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45793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45793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45793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45793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45793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45793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45793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45793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45793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45793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45793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45793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45793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45793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45793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45793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45793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45793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45793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45793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45793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45793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45793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45793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45793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45793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45793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45793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45793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45793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45793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45793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45793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45793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45793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45793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45793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45793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45793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45793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45793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45793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45793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45793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45793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45793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45793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45793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45793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45793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45793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45793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45793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45793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45793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45793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45793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45793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45793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45793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45793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45793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45793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45793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45793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45793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45793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45793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45793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45793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45793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45793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45793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45793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45793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45793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45793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45793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45793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45793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45793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45793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45793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45793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45793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45793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45793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45793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45793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45793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45793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45793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45793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45793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45793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45793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45793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45793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45793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45793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45793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45793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45793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45793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45793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45793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45793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45793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45793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45793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45793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45793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45793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45793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45793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45793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45793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45793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45793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45793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45793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45793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45793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45793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45793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45793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45793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45793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45793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45793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45793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45793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45793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45793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45793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45793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45793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45793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45793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45793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45793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45793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45793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45793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45793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45793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45793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45793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45793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45793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45793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45793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45793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45793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45793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45793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45793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45793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45793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45793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45793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45793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45793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45793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45793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45793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45793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45793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45793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45793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45793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45793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45793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45793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45793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45793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45793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45793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45793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45793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45793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45793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45793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45793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45793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45793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45793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45793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45793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45793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45793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45793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45793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45793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45793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45793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45793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45793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45793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45793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45793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45793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45793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45793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45793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45793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45793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45793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45793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45793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45793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45793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45793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45793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45793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45793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45793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45793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45793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45793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45793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45793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45793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45793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45793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45793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45793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45793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45793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45793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45793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45793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45793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45793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45793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45793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45793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45793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45793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45793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45793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45793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45793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45793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45793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45793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45793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45793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45793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45793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45793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45793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45793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45793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45793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45793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45793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45793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45793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45793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45793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45793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45793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45793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45793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45793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45793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45793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45793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45793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45793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45793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45793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45793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45793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45793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45793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45793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45793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45793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45793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45793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45793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45793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45793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45793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45793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45793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45793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45793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45793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45793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45793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45793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45793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45793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45793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45793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45793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45793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45793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45793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45793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45793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45793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45793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45793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45793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45793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45793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45793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45793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45793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45793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45793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45793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45793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45793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45793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45793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45793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45793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45793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45793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45793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45793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45793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45793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45793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45793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45793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45793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45793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45793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45793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45793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45793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45793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45793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45793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45793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45793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45793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45793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45793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45793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45793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45793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45793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45793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45793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45793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45793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45793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45793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45793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45793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45793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45793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45793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45793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45793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45793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45793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45793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45793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45793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45793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45793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45793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45793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45793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45793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45793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45793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45793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45793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45793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45793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45793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45793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45793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45793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45793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45793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45793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45793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45793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45793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45793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45793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45793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45793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45793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45793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45793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45793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45793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45793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45793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45793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45793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45793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45793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45793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45793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45793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45793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45793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45793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45793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45793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45793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45793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45793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45793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45793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45793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45793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45793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45793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45793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45793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45793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45793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45793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45793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45793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45793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45793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45793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45793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45793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45793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45793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45793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45793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45793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45793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45793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45793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45793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45793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45793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45793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45793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45793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45793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45793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45793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45793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45793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45793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45793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45793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45793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45793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45793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45793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45793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45793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45793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45793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45793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45793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45793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45793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45793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45793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45793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45793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45793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45793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45793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45793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45793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45793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45793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45793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45793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45793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45793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45793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45793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45793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45793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45793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45793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45793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45793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45793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45793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45793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45793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45793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45793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45793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45793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45793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45793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45793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45793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45793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45793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45793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45793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45793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45793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45793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45793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45793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45793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45793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45793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45793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45793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45793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45793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45793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45793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45793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45793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45793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45793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45793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45793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45793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45793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45793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45793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45793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45793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45793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45793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45793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45793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45793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45793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45793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45793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45793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45793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45793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45793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45793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45793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45793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45793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45793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45793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45793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45793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45793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45793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45793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45793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45793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45793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45793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45793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45793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45793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45793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45793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45793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45793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45793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45793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45793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45793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45793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45793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45793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45793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45793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45793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45793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45793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45793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45793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45793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45793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45793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45793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45793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45793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45793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45793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45793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45793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45793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45793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45793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45793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45793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45793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45793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45793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45793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45793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45793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45793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45793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45793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45793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45793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45793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45793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45793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45793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45793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45793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45793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45793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45793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45793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45793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45793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45793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45793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45793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45793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45793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45793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45793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45793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45793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45793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45793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45793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45793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45793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45793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45793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45793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45793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45793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45793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45793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45793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45793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45793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45793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45793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45793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45793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45793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45793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45793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45793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45793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45793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45793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45793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45793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45793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45793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45793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45793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45793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45793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45793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45793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45793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45793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45793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45793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45793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45793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45793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45793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45793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45793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45793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45793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45793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45793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45793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45793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45793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45793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45793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45793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45793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45793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45793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45793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45793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45793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45793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45793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45793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45793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45793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45793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45793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45793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45793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45793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45793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45793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45793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45793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45793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45793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45793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45793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45793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45793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45793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45793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45793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45793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45793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45793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45793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45793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45793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45793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45793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45793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45793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45793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45793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45793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45793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45793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45793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45793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45793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45793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45793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45793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45793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45793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45793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45793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45793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45793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45793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45793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45793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45793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45793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45793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45793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45793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45793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45793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45793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45793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45793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45793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45793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45793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45793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45793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45793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45793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45793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45793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45793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45793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45793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45793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45793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45793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45793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45793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45793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45793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45793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45793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45793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45793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45793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45793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45793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45793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45793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45793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45793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45793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45793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45793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45793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45793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45793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45793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45793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45793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45793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45793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45793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45793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45793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45793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45793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45793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45793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45793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45793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45793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45793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45793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45793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45793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45793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45793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45793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45793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45793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45793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45793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45793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45793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45793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45793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45793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45793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45793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45793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45793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45793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45793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45793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45793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45793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45793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45793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45793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45793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45793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45793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45793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45793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45793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45793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45793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45793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45793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45793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45793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45793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45793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45793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45793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45793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45793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45793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45793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45793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45793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45793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45793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45793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45793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45793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45793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45793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45793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45793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45793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45793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45793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45793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45793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45793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45793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45793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45793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45793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45793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45793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45793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45793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45793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45793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45793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45793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45793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45793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45793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45793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45793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45793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45793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45793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45793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45793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45793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45793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45793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45793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45793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45793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45793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45793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45793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45793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45793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45793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45793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45793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45793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45793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45793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45793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45793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45793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45793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45793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45793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45793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45793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45793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45793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45793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45793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45793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45793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45793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45793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45793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45793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45793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45793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45793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45793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45793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45793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45793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45793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45793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45793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45793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45793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45793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45793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45793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45793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45793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45793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45793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45793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45793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45793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45793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45793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45793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45793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45793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45793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45793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45793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45793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45793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45793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45793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45793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45793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45793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45793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45793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45793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45793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45793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45793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45793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45793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45793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45793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45793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45793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45793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45793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45793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45793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45793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45793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45793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45793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45793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45793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45793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45793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45793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45793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45793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45793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45793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45793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45793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45793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45793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45793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45793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45793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45793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45793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45793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45793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45793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45793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45793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45793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45793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45793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45793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45793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45793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45793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45793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45793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45793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45793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45793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45793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45793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45793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45793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45793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45793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45793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45793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45793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45793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45793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45793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45793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45793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45793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45793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45793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45793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45793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45793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45793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45793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45793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45793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45793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45793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45793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45793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45793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45793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45793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45793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45793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45793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45793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45793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45793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45793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45793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45793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45793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45793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45793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45793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45793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45793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45793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45793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45793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45793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45793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45793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45793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45793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45793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45793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45793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45793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45793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45793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45793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45793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45793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45793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45793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45793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45793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45793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45793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45793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45793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45793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45793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45793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45793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45793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45793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45793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45793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45793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45793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45793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45793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45793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45793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45793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45793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45793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45793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45793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45793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45793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45793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45793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45793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45793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45793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45793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45793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45793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45793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45793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45793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45793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45793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45793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45793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45793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45793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45793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45793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45793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45793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45793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45793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45793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45793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45793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45793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45793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45793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45793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45793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45793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45793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45793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45793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45793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45793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45793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45793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45793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45793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45793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45793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45793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45793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45793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45793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45793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45793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45793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45793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45793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45793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45793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45793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45793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45793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45793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45793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45793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45793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45793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45793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45793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45793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45793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45793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45793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45793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45793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45793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45793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45793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45793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45793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45793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45793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45793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45793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45793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45793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45793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45793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45793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45793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45793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45793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45793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45793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45793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45793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45793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45793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45793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45793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45793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45793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45793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45793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45793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45793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45793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45793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45793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45793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45793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45793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45793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45793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45793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45793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45793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45793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45793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45793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45793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45793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45793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45793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45793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45793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45793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45793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45793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45793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45793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45793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45793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45793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45793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45793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45793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45793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45793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45793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45793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45793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45793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45793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45793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45793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45793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45793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45793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45793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45793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45793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45793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45793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45793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45793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45793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45793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45793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45793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45793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45793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45793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45793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45793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45793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45793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45793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45793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45793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45793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45793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45793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45793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45793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45793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45793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45793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45793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45793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45793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45793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45793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45793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45793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45793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45793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45793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45793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45793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45793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45793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45793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45793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45793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45793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45793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45793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45793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45793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45793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45793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45793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45793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45793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45793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45793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45793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45793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45793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45793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45793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45793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45793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45793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45793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45793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45793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45793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45793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45793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45793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45793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45793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45793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45793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45793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45793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45793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45793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45793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45793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45793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45793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45793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45793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45793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45793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45793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45793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45793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45793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45793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45793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45793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45793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45793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45793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45793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45793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45793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45793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45793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45793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45793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45793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45793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45793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45793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45793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45793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45793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45793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45793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45793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45793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45793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45793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45793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45793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45793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45793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45793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45793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45793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45793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45793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45793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45793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45793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45793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45793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45793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45793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45793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45793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45793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45793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45793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45793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45793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45793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45793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45793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45793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45793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45793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45793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45793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45793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45793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45793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45793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45793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45793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45793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45793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45793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45793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45793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45793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45793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45793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45793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45793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45793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45793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45793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45793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45793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45793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45793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45793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45793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45793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45793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45793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45793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45793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45793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45793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45793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45793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45793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45793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45793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45793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45793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45793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45793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45793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45793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45793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45793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45793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45793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45793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45793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45793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45793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45793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45793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45793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45793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45793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45793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45793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45793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45793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45793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45793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45793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45793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45793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45793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45793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45793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45793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45793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45793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45793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45793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45793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45793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45793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45793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45793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45793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45793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45793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45793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45793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45793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45793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45793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45793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45793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45793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45793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45793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45793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45793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45793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45793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45793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45793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45793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45793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45793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45793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45793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45793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45793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45793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45793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45793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45793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45793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45793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45793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45793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45793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45793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45793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45793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45793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45793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45793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45793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45793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45793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45793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45793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45793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45793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45793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45793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45793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45793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45793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45793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45793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45793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45793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45793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45793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45793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45793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45793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45793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45793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45793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45793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45793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45793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45793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45793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45793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45793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45793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45793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45793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45793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45793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45793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45793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45793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45793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45793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45793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45793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45793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45793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45793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45793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45793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45793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45793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45793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45793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45793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45793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45793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45793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45793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45793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45793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45793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45793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45793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45793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45793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45793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45793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45793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45793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45793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45793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45793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45793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45793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45793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45793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45793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45793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45793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45793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45793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45793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45793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45793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45793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45793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45793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45793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45793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45793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45793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45793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45793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45793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45793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45793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45793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45793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45793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45793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45793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45793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45793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45793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45793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45793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45793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45793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45793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45793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45793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45793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45793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45793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45793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45793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45793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45793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45793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45793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45793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45793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45793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45793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45793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45793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45793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45793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45793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45793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45793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45793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45793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45793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45793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45793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45793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45793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45793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45793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45793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45793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45793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45793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45793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45793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45793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45793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45793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45793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45793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45793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45793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45793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45793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45793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45793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45793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45793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45793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45793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45793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45793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45793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45793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45793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45793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45793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45793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45793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45793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45793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45793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45793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45793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45793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45793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45793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45793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45793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45793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45793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45793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45793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45793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45793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45793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45793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45793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45793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45793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45793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45793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45793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45793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45793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45793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45793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45793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45793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45793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45793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45793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45793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45793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45793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45793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45793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45793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45793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45793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45793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45793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45793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45793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45793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45793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45793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45793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45793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45793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45793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45793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45793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45793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45793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45793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45793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45793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45793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45793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45793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45793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45793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45793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45793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45793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45793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45793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45793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45793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45793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45793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45793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45793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45793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45793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45793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45793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45793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45793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45793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45793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45793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45793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45793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45793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45793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45793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45793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45793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45793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45793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45793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45793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45793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45793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45793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45793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45793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45793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45793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45793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45793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45793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45793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45793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45793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45793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45793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45793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45793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45793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45793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45793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45793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45793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45793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45793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45793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45793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45793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45793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45793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45793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45793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45793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45793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45793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45793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45793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45793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45793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45793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45793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45793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45793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45793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45793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45793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45793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45793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45793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45793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45793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45793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45793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45793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45793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45793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45793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45793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45793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45793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45793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45793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45793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45793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45793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45793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45793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45793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45793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45793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45793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45793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45793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45793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45793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45793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45793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45793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45793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45793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45793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45793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45793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45793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45793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45793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45793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45793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45793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45793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45793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45793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45793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45793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45793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45793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45793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45793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45793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45793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45793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45793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45793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45793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45793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45793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45793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45793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45793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45793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45793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45793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45793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45793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45793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45793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45793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45793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45793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45793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45793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45793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45793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45793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45793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45793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45793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45793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45793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45793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45793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45793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45793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45793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45793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45793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45793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45793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45793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45793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45793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45793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45793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45793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45793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45793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45793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45793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45793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45793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45793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45793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45793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45793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45793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45793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45793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45793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45793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45793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45793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45793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45793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45793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45793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45793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45793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45793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45793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45793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45793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45793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45793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45793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45793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45793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45793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45793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45793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45793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45793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45793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45793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45793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45793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45793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45793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45793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45793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45793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45793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45793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45793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45793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45793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45793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45793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45793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45793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45793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45793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45793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45793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45793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45793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45793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45793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45793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45793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45793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45793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45793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45793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45793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45793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45793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45793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45793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45793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45793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45793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45793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45793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45793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45793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45793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45793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45793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45793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45793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45793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45793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45793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45793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45793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45793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45793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45793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45793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45793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45793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45793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45793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45793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45793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45793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45793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45793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45793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45793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45793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45793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45793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45793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45793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45793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45793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45793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45793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45793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45793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45793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45793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45793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45793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45793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45793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45793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45793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45793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45793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45793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45793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45793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45793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45793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45793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45793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45793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45793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45793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45793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45793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45793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45793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45793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45793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45793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45793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45793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45793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45793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45793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45793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45793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45793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45793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45793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45793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45793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45793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45793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45793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45793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45793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45793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45793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45793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45793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45793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45793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45793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45793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45793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45793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45793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45793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45793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45793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45793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45793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45793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45793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45793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45793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45793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45793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45793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45793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45793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45793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45793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45793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45793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45793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45793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45793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45793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45793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45793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45793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45793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45793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45793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45793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45793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45793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45793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45793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45793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45793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45793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45793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45793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45793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45793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45793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45793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45793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45793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45793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45793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45793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45793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45793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45793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45793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45793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45793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45793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45793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45793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45793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45793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45793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45793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45793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45793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45793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45793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45793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45793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45793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45793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45793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45793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45793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45793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45793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45793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45793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45793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45793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45793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45793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45793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45793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45793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45793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45793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45793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45793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45793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45793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45793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45793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45793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45793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45793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45793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45793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45793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45793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45793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45793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45793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45793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45793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45793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45793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45793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45793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45793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45793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45793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45793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45793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45793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45793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45793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45793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45793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45793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45793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45793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45793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45793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45793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45793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45793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45793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45793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45793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45793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45793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45793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45793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45793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45793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45793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45793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45793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45793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45793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45793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45793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45793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45793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45793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45793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45793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45793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45793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45793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45793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45793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45793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45793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45793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45793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45793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45793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45793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45793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45793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45793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45793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45793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45793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45793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45793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45793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45793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45793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45793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45793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45793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45793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45793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45793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45793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45793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45793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45793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45793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45793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45793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45793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45793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45793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45793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45793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45793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45793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45793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45793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45793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45793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45793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45793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45793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45793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45793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45793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45793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45793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45793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45793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45793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45793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45793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45793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45793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45793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45793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45793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45793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45793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45793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45793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45793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45793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45793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45793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45793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45793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45793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45793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45793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45793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45793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45793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45793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45793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45793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45793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45793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45793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45793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45793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45793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45793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45793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45793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45793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45793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45793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45793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45793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45793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45793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45793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45793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45793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45793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45793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45793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45793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45793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45793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45793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45793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45793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45793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45793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45793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45793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45793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45793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45793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45793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45793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45793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45793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45793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45793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45793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45793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45793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45793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45793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45793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45793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45793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45793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45793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45793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45793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45793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45793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45793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45793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45793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45793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45793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45793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45793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45793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45793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45793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45793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45793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45793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45793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45793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45793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45793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45793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45793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45793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45793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45793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45793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45793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45793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45793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45793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45793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45793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45793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45793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45793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45793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45793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45793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45793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45793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45793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45793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45793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45793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45793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45793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45793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45793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45793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45793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45793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45793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45793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45793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45793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45793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45793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45793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45793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45793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45793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45793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45793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45793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45793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45793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45793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45793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45793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45793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45793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45793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45793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45793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45793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45793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45793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45793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45793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45793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45793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45793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45793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45793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45793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45793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45793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45793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45793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45793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45793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45793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45793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45793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45793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45793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45793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45793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45793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45793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45793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45793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45793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45793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45793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45793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45793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45793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45793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45793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45793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45793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45793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45793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45793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45793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45793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45793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45793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45793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45793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45793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45793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45793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45793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45793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45793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45793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45793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45793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45793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45793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45793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45793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45793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45793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45793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45793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45793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45793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45793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45793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45793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45793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45793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45793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45793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45793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45793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45793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45793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45793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45793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45793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45793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45793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45793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45793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45793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45793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45793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45793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45793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45793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45793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45793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45793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45793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45793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45793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45793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45793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45793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45793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45793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45793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45793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45793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45793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45793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45793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45793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45793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45793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45793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45793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45793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45793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45793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45793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45793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45793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45793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45793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45793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45793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45793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45793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45793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45793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45793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45793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45793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45793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45793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45793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45793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45793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45793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45793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45793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45793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45793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45793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45793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45793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45793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45793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45793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45793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45793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45793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45793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45793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45793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45793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45793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45793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45793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45793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45793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45793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45793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45793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45793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45793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45793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45793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45793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45793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45793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45793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45793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45793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45793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45793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45793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45793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45793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45793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45793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45793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45793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45793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45793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45793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45793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45793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45793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45793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45793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45793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45793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45793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45793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45793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45793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45793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45793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45793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45793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45793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45793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45793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45793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45793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45793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45793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45793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45793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45793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45793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45793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45793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45793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45793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45793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45793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45793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45793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45793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45793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45793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45793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45793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45793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45793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45793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45793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45793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45793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45793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45793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45793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45793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45793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45793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45793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45793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45793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45793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45793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45793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45793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45793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45793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45793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45793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45793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45793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45793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45793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45793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45793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45793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45793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45793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45793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45793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45793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45793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45793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45793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45793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45793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45793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45793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45793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45793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45793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45793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45793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45793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45793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45793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45793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45793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45793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45793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45793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45793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45793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45793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45793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45793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45793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45793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45793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45793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45793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45793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45793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45793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45793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45793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45793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45793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45793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45793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45793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45793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45793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45793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45793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45793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45793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45793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45793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45793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45793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45793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45793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45793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45793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45793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45793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45793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45793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45793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45793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45793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45793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45793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45793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45793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45793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45793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45793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45793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45793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45793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45793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45793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45793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45793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45793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45793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45793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45793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45793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45793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45793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45793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45793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45793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45793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45793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45793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45793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45793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45793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45793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45793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45793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45793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45793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45793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45793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45793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45793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45793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45793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45793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45793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45793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45793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45793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45793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45793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45793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45793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45793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45793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45793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45793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45793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45793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45793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45793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45793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45793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45793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45793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45793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45793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45793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45793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45793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45793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45793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45793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45793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45793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45793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45793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45793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45793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45793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45793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45793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45793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45793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45793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45793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45793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45793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45793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45793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45793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45793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45793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45793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45793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45793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45793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45793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45793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45793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45793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45793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45793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45793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45793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45793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45793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45793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45793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45793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45793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45793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45793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45793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45793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45793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45793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45793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45793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45793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45793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45793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45793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45793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45793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45793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45793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45793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45793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45793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45793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45793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45793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45793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45793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45793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45793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45793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45793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45793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45793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45793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45793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45793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45793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45793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45793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45793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45793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45793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45793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45793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45793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45793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45793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45793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45793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45793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45793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45793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45793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45793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45793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45793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45793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45793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45793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45793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45793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45793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45793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45793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45793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45793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45793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45793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45793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45793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45793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45793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45793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45793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45793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45793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45793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45793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45793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45793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45793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45793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45793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45793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45793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45793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45793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45793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45793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45793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45793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45793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45793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45793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45793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45793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45793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45793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45793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45793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45793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45793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45793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45793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45793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45793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45793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45793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45793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45793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45793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45793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45793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45793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45793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45793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45793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45793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45793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45793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45793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45793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45793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45793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45793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45793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45793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45793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45793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45793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45793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45793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45793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45793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45793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45793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45793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45793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45793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45793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45793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45793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45793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45793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45793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45793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45793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45793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45793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45793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45793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45793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45793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45793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45793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45793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45793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45793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45793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45793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45793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45793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45793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45793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45793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45793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45793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45793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45793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45793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45793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45793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45793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45793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45793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45793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45793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45793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45793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45793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45793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45793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45793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45793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45793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45793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45793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45793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45793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45793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45793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45793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45793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45793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45793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45793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45793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45793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45793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45793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45793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45793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45793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45793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45793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45793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45793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45793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45793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45793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45793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45793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45793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45793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45793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45793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45793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45793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45793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45793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45793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45793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45793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45793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45793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45793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45793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45793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45793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45793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45793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45793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45793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45793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45793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45793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45793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45793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45793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45793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45793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45793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45793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45793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45793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45793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45793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45793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45793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45793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45793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45793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45793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45793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45793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45793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45793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45793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45793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45793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45793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45793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45793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45793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45793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45793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45793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45793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45793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45793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45793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45793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45793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45793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45793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45793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45793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45793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45793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45793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45793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45793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45793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45793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45793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45793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45793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45793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45793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45793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45793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45793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45793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45793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45793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45793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45793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45793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45793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45793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45793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45793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45793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45793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45793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45793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45793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45793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45793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45793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45793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45793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45793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45793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45793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45793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45793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45793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45793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45793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45793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45793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45793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45793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45793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45793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45793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45793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45793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45793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45793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45793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45793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45793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45793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45793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45793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45793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45793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45793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45793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45793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45793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45793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45793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45793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45793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45793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45793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45793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45793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45793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45793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45793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45793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45793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45793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45793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45793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45793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45793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45793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45793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45793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45793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45793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45793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45793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45793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45793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45793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45793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45793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45793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45793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45793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45793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45793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45793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45793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45793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45793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45793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45793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45793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45793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45793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45793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45793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45793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45793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45793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45793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45793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45793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45793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45793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45793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45793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45793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45793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45793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45793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45793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45793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45793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45793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45793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45793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45793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45793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45793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45793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45793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45793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45793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45793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45793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45793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45793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45793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45793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45793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45793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45793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45793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45793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45793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45793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45793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45793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45793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45793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45793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45793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45793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45793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45793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45793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45793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45793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45793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45793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45793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45793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45793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45793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45793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45793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45793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45793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45793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45793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45793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45793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45793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45793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45793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45793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45793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45793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45793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45793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45793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45793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45793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45793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45793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45793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45793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45793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45793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45793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45793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45793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45793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45793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45793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45793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45793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45793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45793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45793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45793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45793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45793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45793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45793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45793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45793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45793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45793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45793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45793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45793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45793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45793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45793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45793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45793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45793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45793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45793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45793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45793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45793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45793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45793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45793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45793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45793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45793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45793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45793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45793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45793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45793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45793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45793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45793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45793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45793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45793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45793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45793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45793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45793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45793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45793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45793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45793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45793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45793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45793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45793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45793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45793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45793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45793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45793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45793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45793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45793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45793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45793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45793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45793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45793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45793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45793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45793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45793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45793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45793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45793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45793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45793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45793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45793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45793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45793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45793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45793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45793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45793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45793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45793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45793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45793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45793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45793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45793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45793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45793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45793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45793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45793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45793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45793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45793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45793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45793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45793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45793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45793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45793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45793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45793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45793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45793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45793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45793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45793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45793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45793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45793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45793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45793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45793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45793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45793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45793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45793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45793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45793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45793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45793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45793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45793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45793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45793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45793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45793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45793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45793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45793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45793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45793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45793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45793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45793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45793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45793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45793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45793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45793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45793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45793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45793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45793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45793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45793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45793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45793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45793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45793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45793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45793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45793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45793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45793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45793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45793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45793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45793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45793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45793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45793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45793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45793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45793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45793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45793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45793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45793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45793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45793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45793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45793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45793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45793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45793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45793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45793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45793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45793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45793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45793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45793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45793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45793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45793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45793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45793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45793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45793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45793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45793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45793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45793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45793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45793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45793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45793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45793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45793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45793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45793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45793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45793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45793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45793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45793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45793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45793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45793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45793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45793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45793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45793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45793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45793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45793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45793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45793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45793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45793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45793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45793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45793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45793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45793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45793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45793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45793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45793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45793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45793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45793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45793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45793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45793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45793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45793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45793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45793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45793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45793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45793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45793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45793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45793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45793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45793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45793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45793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45793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45793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45793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45793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45793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45793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45793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45793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45793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45793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45793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45793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45793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45793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45793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45793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45793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45793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45793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45793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45793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45793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45793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45793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45793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45793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45793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45793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45793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45793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45793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45793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45793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45793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45793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45793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45793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45793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45793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45793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45793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45793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45793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45793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45793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45793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45793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45793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45793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45793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45793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45793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45793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45793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45793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45793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45793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45793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45793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45793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45793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45793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45793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45793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45793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45793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45793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45793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45793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45793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45793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45793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45793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45793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45793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45793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45793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45793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45793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45793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45793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45793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45793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45793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45793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45793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45793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45793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45793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45793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45793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45793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45793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45793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45793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45793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45793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45793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45793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45793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45793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45793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45793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45793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45793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45793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45793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45793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45793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45793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45793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45793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45793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45793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45793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45793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45793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45793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45793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45793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45793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45793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45793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45793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45793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45793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45793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45793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45793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45793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45793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45793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45793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45793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45793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45793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45793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45793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45793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45793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45793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45793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45793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45793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45793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45793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45793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45793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45793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45793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45793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45793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45793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45793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45793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45793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45793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45793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45793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45793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45793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45793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45793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45793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45793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45793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45793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45793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45793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45793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45793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45793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45793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45793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45793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45793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45793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45793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45793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45793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45793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45793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45793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45793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45793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45793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45793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45793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45793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45793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45793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45793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45793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45793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45793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45793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45793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45793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45793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45793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45793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45793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45793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45793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45793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45793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45793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45793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45793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45793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45793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45793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45793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45793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45793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45793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45793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45793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45793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45793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45793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45793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45793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45793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45793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45793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45793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45793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45793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45793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45793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45793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45793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45793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45793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45793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45793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45793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45793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45793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45793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45793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45793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45793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45793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45793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45793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45793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45793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45793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45793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45793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45793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45793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45793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45793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45793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45793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45793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45793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45793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45793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45793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45793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45793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45793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45793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45793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45793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45793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45793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45793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45793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45793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45793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45793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45793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45793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45793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45793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45793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45793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45793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45793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45793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45793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45793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45793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45793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45793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45793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45793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45793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45793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45793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45793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45793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45793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45793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45793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45793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45793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45793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45793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45793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45793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45793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45793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45793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45793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45793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45793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45793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45793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45793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45793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45793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45793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45793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45793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45793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45793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45793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45793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45793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45793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45793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45793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45793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45793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45793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45793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45793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45793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45793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45793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45793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45793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45793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45793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45793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45793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45793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45793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45793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45793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45793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45793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45793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45793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45793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45793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45793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45793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45793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45793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45793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45793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45793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45793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45793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45793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45793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45793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45793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45793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45793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45793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45793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45793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45793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45793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45793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45793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45793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45793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45793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45793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45793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45793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45793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45793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45793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45793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45793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45793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45793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45793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45793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45793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45793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45793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45793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45793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45793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45793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45793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45793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45793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45793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45793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45793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45793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45793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45793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45793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45793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45793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45793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45793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45793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45793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45793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45793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45793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45793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45793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45793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45793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45793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45793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45793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45793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45793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45793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45793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45793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45793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45793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45793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45793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45793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45793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45793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45793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45793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45793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45793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45793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45793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45793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45793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45793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45793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45793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45793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45793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45793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45793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45793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45793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45793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45793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45793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45793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45793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45793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45793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45793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45793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45793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45793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45793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45793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45793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45793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45793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45793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45793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45793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45793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45793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45793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45793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45793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45793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45793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45793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45793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45793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45793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45793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45793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45793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45793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45793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45793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45793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45793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45793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45793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45793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45793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45793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45793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45793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45793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45793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45793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45793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45793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45793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45793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45793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45793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45793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45793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45793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45793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45793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45793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45793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45793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45793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45793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45793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45793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45793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45793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45793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45793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45793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45793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45793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45793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45793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45793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45793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45793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45793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45793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45793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45793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45793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45793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45793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45793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45793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45793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45793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45793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45793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45793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45793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45793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45793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45793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45793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45793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45793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45793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45793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45793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45793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45793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45793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45793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45793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45793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45793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45793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45793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45793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45793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45793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45793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45793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45793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45793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45793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45793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45793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45793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45793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45793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45793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45793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45793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45793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45793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45793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45793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45793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45793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45793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45793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45793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45793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45793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45793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45793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45793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45793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45793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45793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45793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45793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45793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45793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45793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45793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45793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45793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45793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45793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45793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45793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45793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45793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45793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45793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45793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45793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45793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45793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45793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45793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45793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45793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45793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45793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45793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45793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45793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45793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45793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45793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45793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45793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45793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45793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45793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45793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45793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45793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45793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45793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45793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45793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45793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45793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45793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45793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45793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45793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45793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45793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45793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45793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45793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45793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45793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45793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45793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45793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45793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45793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45793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45793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45793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45793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45793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45793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45793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45793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45793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45793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45793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45793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45793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45793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45793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45793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45793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45793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45793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45793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45793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45793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45793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45793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45793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45793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45793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45793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45793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45793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45793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45793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45793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45793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45793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45793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45793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45793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45793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45793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45793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45793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45793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45793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45793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45793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45793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45793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45793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45793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45793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45793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45793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45793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45793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45793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45793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45793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45793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45793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45793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45793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45793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45793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45793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45793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45793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45793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45793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45793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45793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45793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45793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45793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45793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45793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45793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45793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45793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45793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45793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45793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45793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45793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45793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45793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45793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45793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45793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45793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45793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45793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45793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45793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45793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45793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45793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45793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45793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45793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45793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45793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45793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45793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45793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45793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45793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45793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45793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45793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45793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45793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45793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45793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45793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45793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45793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45793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45793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45793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45793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45793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45793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45793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45793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45793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45793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45793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45793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45793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45793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45793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45793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45793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45793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45793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45793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45793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45793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45793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45793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45793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45793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45793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45793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45793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45793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45793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45793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45793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45793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45793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45793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45793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45793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45793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45793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45793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45793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45793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45793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45793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45793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45793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45793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45793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45793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45793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45793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45793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45793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45793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45793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45793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45793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45793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45793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45793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45793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45793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45793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45793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45793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45793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45793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45793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45793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45793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45793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45793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45793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45793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45793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45793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45793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45793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45793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45793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45793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45793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45793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45793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45793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45793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45793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45793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45793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45793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45793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45793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45793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45793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45793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45793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45793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45793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45793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45793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45793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45793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45793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45793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45793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45793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45793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45793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45793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45793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45793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45793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45793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45793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45793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45793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45793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45793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45793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45793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45793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45793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45793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45793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45793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45793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45793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45793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45793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45793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45793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45793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45793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45793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45793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45793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45793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45793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45793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45793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45793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45793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45793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45793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45793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45793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45793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45793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45793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45793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45793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45793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45793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45793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45793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45793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45793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45793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45793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45793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45793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45793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45793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45793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45793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45793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45793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45793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45793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45793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45793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45793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45793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45793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45793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45793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45793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45793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45793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45793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45793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45793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45793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45793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45793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45793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45793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45793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45793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45793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45793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45793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45793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45793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45793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45793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45793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45793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45793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45793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45793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45793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45793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45793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45793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45793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45793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45793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45793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45793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45793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45793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45793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45793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45793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45793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45793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45793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45793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45793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45793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45793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45793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45793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45793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45793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45793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45793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45793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45793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45793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45793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45793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45793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45793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45793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45793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45793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45793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45793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45793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45793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45793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45793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45793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45793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45793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45793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45793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45793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45793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45793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45793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45793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45793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45793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45793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45793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45793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45793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45793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45793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45793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45793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45793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45793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45793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45793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45793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45793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45793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45793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45793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45793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45793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45793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45793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45793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45793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45793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45793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45793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45793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45793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45793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45793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45793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45793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45793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45793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45793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45793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45793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45793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45793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45793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45793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45793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45793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45793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45793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45793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45793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45793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45793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45793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45793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45793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45793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45793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45793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45793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45793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45793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45793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45793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45793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45793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45793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45793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45793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45793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45793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45793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45793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45793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45793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45793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45793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45793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45793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45793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45793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45793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45793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45793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45793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45793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45793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45793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45793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45793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45793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45793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45793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45793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45793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45793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45793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45793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45793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45793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45793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45793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45793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45793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45793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45793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45793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45793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45793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45793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45793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45793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45793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45793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45793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45793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45793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45793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45793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45793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45793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45793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45793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45793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45793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45793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45793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45793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45793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45793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45793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45793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45793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45793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45793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45793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45793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45793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45793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45793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45793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45793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45793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45793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45793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45793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45793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45793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45793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45793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45793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45793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45793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45793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45793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45793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45793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45793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45793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45793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45793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45793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45793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45793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45793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45793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45793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45793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45793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45793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45793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45793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45793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45793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45793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45793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45793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45793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45793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45793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45793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45793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45793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45793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45793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45793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45793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45793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45793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45793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45793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45793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45793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45793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45793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45793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45793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45793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45793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45793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45793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45793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45793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45793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45793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45793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45793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45793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45793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45793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45793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45793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45793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45793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45793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45793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45793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45793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45793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45793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45793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45793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45793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45793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45793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45793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45793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45793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45793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45793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45793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45793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45793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45793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45793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45793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45793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45793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45793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45793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45793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45793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45793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45793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45793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45793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45793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45793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45793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45793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45793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45793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45793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45793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45793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45793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45793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45793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45793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45793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45793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45793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45793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45793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45793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45793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45793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45793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45793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45793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45793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45793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45793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45793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45793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45793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45793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45793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45793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45793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45793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45793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45793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45793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45793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45793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45793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45793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45793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45793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45793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45793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45793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45793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45793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45793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45793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45793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45793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45793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45793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45793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45793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45793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45793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45793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45793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45793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45793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45793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45793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45793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45793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45793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45793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45793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45793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45793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45793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45793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45793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45793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45793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45793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45793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45793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45793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45793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45793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45793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45793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45793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45793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45793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45793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45793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45793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45793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45793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45793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45793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45793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45793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45793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45793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45793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45793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45793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45793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45793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45793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45793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45793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45793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45793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45793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45793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45793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45793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45793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45793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45793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45793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45793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45793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45793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45793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45793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45793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45793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45793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45793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45793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45793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45793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45793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45793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45793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45793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45793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45793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45793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45793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45793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45793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45793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45793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45793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45793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45793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45793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45793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45793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45793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45793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45793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45793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45793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45793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45793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45793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45793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45793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45793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45793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45793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45793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45793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45793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45793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45793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45793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45793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45793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45793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45793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45793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45793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45793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45793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45793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45793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45793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45793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45793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45793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45793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45793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45793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45793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45793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45793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45793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45793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45793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45793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45793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45793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45793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45793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45793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45793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45793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45793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45793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45793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45793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45793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45793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45793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45793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45793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45793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45793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45793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45793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45793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45793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45793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45793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45793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45793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45793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45793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45793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45793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45793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45793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45793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45793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45793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45793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45793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45793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45793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45793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45793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45793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45793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45793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45793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45793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45793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45793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45793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45793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45793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45793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45793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45793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45793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45793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45793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45793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45793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45793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45793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45793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45793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45793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45793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45793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45793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45793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45793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45793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45793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45793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45793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45793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45793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45793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45793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45793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45793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45793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45793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45793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45793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45793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45793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45793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45793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45793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45793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45793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45793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45793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45793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45793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45793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45793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45793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45793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45793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45793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45793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45793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45793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45793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45793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45793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45793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45793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45793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45793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45793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45793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45793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45793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45793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45793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45793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45793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45793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45793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45793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45793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45793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45793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45793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45793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45793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45793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45793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45793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45793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45793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45793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45793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45793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45793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45793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45793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45793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45793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45793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45793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45793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45793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45793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45793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45793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45793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45793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45793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45793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45793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45793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45793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45793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45793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45793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45793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45793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45793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45793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45793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45793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45793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45793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45793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45793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45793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45793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45793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45793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45793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45793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45793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45793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45793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45793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45793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45793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45793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45793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45793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45793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45793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45793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45793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45793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45793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45793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45793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45793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45793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45793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45793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45793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45793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45793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45793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45793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45793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45793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45793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45793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45793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45793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45793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45793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45793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45793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45793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45793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45793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45793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45793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45793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45793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45793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45793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45793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45793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45793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45793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45793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45793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45793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45793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45793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45793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45793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45793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45793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45793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45793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45793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45793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45793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45793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45793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45793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45793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45793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45793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45793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45793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45793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45793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45793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45793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45793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45793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45793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45793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45793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45793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45793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45793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45793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45793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45793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45793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45793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45793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45793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45793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45793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45793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45793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45793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45793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45793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45793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45793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45793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45793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45793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45793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45793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45793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45793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45793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45793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45793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45793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45793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45793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45793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45793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45793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45793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45793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45793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45793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45793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45793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45793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45793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45793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45793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45793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45793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45793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45793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45793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45793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45793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45793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45793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45793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45793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45793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45793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45793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45793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45793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45793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45793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45793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45793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45793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45793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45793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45793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45793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45793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45793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45793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45793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45793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45793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45793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45793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45793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45793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45793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45793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45793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45793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45793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45793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45793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45793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45793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45793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45793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45793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45793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45793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45793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45793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45793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45793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45793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45793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45793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45793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45793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45793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45793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45793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45793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45793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45793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45793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45793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45793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45793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45793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45793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45793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45793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45793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45793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45793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45793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45793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45793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45793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45793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45793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45793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45793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45793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45793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45793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45793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45793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45793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45793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45793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45793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45793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45793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45793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45793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45793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45793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45793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45793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45793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45793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45793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45793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45793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45793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45793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45793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45793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45793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45793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45793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45793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45793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45793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45793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45793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45793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45793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45793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45793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45793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45793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45793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45793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45793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45793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45793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45793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45793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45793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45793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45793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45793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45793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45793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45793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45793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45793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45793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45793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45793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45793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45793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45793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45793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45793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45793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45793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45793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45793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45793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45793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45793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45793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45793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45793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45793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45793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45793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45793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45793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45793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45793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45793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45793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45793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45793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45793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45793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45793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45793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45793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45793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45793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45793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45793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45793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45793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45793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45793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45793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45793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45793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45793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45793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45793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45793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45793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45793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45793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45793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45793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45793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45793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45793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45793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45793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45793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45793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45793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45793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45793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45793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45793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45793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45793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45793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45793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45793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45793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45793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45793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45793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45793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45793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45793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45793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45793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45793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45793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45793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45793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45793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45793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45793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45793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45793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45793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45793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45793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45793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45793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45793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45793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45793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45793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45793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45793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45793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45793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45793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45793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45793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45793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45793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45793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45793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45793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45793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45793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45793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45793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45793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45793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45793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45793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45793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45793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45793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45793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45793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45793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45793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45793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45793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45793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45793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45793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45793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45793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45793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45793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45793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45793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45793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45793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45793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45793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45793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45793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45793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45793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45793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45793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45793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45793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45793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45793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45793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45793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45793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45793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45793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45793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45793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45793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45793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45793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45793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45793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45793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45793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45793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45793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45793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45793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45793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45793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45793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45793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45793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45793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45793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45793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45793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45793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45793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45793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45793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45793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45793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45793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45793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45793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45793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45793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45793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45793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45793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45793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45793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45793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45793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45793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45793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45793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45793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45793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45793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45793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45793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45793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45793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45793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45793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45793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45793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45793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45793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45793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45793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45793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45793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45793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45793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45793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45793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45793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45793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45793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45793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45793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45793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45793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45793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45793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45793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45793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45793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45793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45793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45793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45793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45793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45793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45793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45793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45793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45793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45793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45793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45793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45793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45793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45793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45793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45793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45793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45793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45793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45793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45793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45793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45793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45793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45793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45793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45793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45793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45793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45793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45793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45793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45793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45793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45793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45793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45793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45793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45793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45793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45793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45793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45793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45793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45793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45793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45793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45793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45793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45793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45793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45793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45793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45793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45793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45793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45793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45793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45793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45793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45793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45793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45793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45793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45793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45793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45793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45793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45793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45793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45793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45793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45793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45793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45793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45793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45793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45793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45793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45793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45793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45793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45793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45793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45793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45793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45793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45793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45793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45793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45793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45793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45793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45793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45793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45793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45793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45793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45793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45793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45793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45793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45793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45793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45793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45793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45793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45793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45793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45793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45793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45793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45793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45793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45793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45793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45793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45793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45793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45793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45793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45793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45793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45793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45793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45793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45793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45793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45793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45793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45793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45793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45793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45793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45793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45793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45793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45793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45793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45793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45793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45793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45793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45793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45793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45793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45793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45793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45793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45793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45793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45793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45793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45793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45793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45793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45793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45793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45793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45793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45793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45793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45793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45793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45793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45793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45793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45793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45793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45793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45793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45793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45793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45793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45793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45793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45793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45793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45793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45793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45793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45793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45793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45793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45793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45793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45793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45793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45793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45793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45793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45793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45793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45793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45793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45793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45793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45793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45793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45793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45793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45793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45793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45793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45793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45793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45793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45793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45793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45793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45793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45793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45793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45793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45793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45793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45793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45793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45793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45793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45793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45793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45793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45793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45793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45793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45793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45793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45793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45793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45793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45793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45793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45793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45793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45793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45793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45793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45793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45793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45793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45793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45793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45793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45793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45793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45793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45793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45793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45793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45793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45793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45793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45793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45793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45793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45793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45793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45793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45793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45793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45793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45793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45793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45793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45793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45793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45793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45793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45793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45793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45793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45793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45793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45793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45793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45793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45793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45793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45793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45793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45793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45793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45793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45793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45793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45793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45793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45793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45793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45793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45793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45793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45793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45793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45793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45793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45793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45793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45793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45793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45793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45793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45793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45793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45793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45793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45793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45793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45793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45793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45793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45793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45793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45793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45793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45793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45793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45793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45793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45793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45793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45793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45793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45793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45793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45793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45793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45793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45793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45793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45793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45793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45793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45793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45793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45793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45793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45793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45793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45793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45793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45793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45793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45793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45793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45793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45793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45793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45793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45793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45793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45793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45793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45793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45793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45793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45793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45793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45793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45793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45793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45793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45793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45793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45793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45793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45793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45793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45793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45793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45793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45793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45793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45793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45793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45793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45793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45793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45793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45793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45793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45793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45793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45793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45793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45793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45793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45793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45793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45793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45793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45793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45793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45793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45793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45793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45793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45793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45793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45793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45793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45793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45793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45793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45793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45793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45793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45793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45793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45793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45793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45793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45793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45793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45793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45793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45793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45793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45793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45793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45793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45793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45793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45793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45793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45793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45793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45793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45793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45793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45793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45793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45793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45793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45793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45793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45793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45793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45793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45793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45793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45793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45793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45793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45793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45793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45793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45793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45793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45793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45793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45793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45793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45793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45793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45793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45793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45793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45793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45793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45793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45793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45793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45793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45793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45793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45793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45793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45793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45793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45793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45793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45793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45793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45793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45793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45793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45793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45793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45793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45793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45793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45793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45793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45793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45793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45793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45793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45793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45793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45793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45793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45793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45793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45793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45793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45793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45793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45793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45793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45793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45793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45793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45793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45793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45793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45793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45793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45793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45793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45793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45793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45793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45793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45793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45793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45793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45793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45793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45793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45793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45793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45793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45793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45793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45793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45793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45793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45793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45793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45793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45793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45793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45793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45793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45793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45793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45793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45793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45793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45793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45793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45793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45793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45793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45793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45793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45793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45793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45793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45793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45793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45793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45793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45793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45793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45793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45793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45793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45793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45793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45793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45793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45793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45793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45793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45793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45793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45793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45793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45793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45793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45793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45793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45793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45793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45793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45793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45793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45793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45793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45793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45793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45793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45793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45793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45793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45793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45793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45793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45793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45793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45793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45793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45793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45793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45793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45793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45793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45793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45793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45793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45793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45793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45793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45793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45793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45793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45793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45793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45793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45793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45793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45793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45793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45793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45793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45793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45793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45793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45793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45793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45793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45793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45793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45793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45793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45793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45793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45793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45793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45793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45793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45793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45793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45793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45793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45793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45793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45793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45793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45793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45793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45793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45793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45793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45793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45793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45793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45793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45793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45793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45793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45793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45793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45793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45793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45793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45793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45793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45793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45793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45793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45793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45793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45793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45793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45793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45793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45793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45793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45793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45793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45793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45793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45793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45793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45793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45793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45793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45793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45793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45793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45793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45793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45793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45793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45793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45793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45793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45793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45793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45793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45793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45793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45793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45793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45793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45793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45793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45793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45793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45793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45793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45793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45793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45793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45793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45793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45793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45793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45793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45793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45793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45793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45793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45793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45793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45793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45793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45793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45793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45793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45793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45793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45793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45793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45793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45793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45793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45793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45793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45793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45793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45793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45793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45793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45793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45793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45793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45793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45793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45793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45793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45793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45793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45793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45793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45793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45793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45793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45793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45793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45793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45793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45793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45793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45793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45793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45793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45793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45793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45793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45793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45793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45793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45793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45793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45793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45793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45793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45793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45793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45793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45793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45793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45793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45793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45793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45793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45793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45793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45793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45793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45793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45793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45793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45793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45793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45793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45793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45793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45793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45793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45793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45793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45793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45793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45793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45793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45793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45793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45793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45793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45793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45793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45793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45793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45793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45793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45793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45793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45793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45793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45793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45793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45793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45793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45793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45793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45793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45793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45793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45793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45793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45793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45793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45793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45793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45793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45793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45793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45793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45793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45793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45793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45793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45793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45793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45793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45793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45793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45793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45793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45793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45793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45793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45793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45793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45793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45793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45793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45793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45793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45793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45793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45793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45793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45793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45793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45793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45793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45793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45793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45793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45793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45793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45793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45793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45793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45793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45793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45793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45793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45793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45793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45793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45793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45793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45793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45793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45793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45793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45793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45793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45793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45793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45793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45793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45793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45793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45793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45793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45793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45793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45793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45793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45793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45793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45793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45793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45793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45793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45793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45793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45793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45793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45793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45793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45793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45793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45793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45793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45793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45793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45793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45793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45793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45793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45793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45793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45793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45793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45793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45793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45793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45793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45793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45793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45793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45793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45793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45793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45793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45793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45793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45793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45793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45793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45793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45793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45793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45793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45793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45793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45793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45793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45793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45793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45793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45793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45793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45793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45793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45793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45793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45793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45793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45793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45793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45793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45793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45793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45793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45793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45793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45793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45793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45793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45793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45793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45793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45793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45793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45793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45793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45793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45793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45793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45793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45793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45793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45793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45793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45793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45793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45793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45793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45793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45793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45793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45793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45793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45793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45793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45793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45793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45793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45793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45793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45793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45793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45793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45793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45793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45793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45793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45793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45793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45793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45793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45793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45793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45793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45793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45793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45793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45793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45793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45793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45793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45793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45793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45793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45793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45793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45793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45793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45793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45793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45793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45793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45793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45793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45793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45793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45793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45793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45793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45793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45793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45793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45793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45793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45793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45793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45793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45793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45793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45793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45793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45793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45793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45793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45793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45793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45793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45793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45793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45793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45793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45793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45793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45793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45793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45793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45793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45793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45793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45793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45793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45793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45793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45793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45793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45793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45793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45793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45793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45793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45793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45793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45793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45793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45793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45793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45793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45793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45793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45793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45793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45793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45793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45793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45793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45793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45793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45793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45793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45793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45793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45793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45793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45793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45793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45793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45793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45793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45793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45793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45793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45793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45793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45793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45793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45793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45793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45793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45793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45793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45793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45793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45793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45793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45793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45793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45793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45793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45793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45793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45793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45793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45793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45793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45793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45793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45793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45793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45793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45793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45793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45793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45793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45793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45793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45793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45793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45793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45793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45793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45793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45793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45793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45793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45793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45793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45793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45793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45793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45793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45793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45793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45793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45793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45793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45793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45793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45793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45793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45793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45793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45793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45793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45793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45793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45793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45793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45793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45793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45793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45793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45793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45793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45793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45793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45793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45793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45793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45793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45793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45793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45793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45793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45793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45793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45793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45793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45793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45793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45793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45793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45793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45793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45793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45793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45793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45793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45793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45793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45793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45793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45793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45793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45793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45793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45793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45793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45793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45793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45793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45793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45793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45793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45793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45793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45793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45793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45793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45793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45793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45793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45793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45793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45793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45793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45793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45793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45793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45793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45793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45793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45793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45793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45793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45793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45793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45793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45793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45793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45793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45793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45793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45793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45793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45793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45793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45793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45793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45793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45793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45793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45793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45793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45793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45793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45793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45793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45793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45793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45793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45793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45793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45793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45793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45793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45793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45793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45793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45793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45793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45793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45793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45793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45793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45793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45793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45793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45793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45793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45793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45793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45793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45793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45793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45793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45793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45793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45793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45793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45793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45793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45793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45793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45793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45793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45793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45793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45793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45793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45793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45793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45793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45793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45793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45793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45793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45793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45793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45793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45793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45793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45793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45793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45793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45793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45793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45793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45793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45793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45793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45793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45793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45793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45793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45793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45793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45793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45793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45793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45793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45793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45793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45793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45793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45793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45793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45793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45793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45793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45793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45793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45793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45793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45793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45793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45793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45793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45793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45793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45793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45793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45793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45793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45793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45793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45793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45793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45793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45793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45793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45793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45793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45793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45793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45793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45793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45793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45793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45793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45793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45793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45793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45793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45793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45793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45793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45793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45793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45793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45793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45793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45793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45793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45793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45793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45793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45793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45793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45793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45793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45793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45793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45793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45793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45793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45793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45793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45793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45793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45793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45793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45793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45793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45793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45793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45793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45793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45793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45793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45793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45793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45793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45793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45793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45793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45793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45793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45793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45793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45793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45793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45793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45793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45793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45793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45793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45793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45793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45793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45793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45793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45793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45793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45793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45793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45793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45793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45793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45793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45793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45793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45793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45793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45793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45793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45793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45793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45793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45793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45793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45793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45793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45793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45793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45793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45793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45793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45793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45793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45793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45793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45793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45793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45793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45793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45793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45793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45793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45793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45793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45793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45793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45793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45793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45793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45793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45793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45793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45793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45793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45793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45793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45793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45793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45793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45793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45793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45793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45793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45793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45793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45793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45793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45793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45793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45793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45793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45793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45793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45793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45793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45793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45793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45793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45793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45793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45793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45793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45793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45793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45793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45793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45793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45793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45793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45793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45793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45793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45793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45793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45793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45793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45793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45793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45793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45793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45793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45793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45793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45793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45793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45793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45793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45793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45793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45793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45793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45793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45793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45793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45793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45793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45793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45793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45793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45793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45793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45793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45793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45793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45793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45793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45793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45793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45793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45793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45793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45793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45793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45793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45793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45793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45793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45793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45793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45793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45793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45793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45793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45793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45793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45793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45793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45793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45793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45793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45793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45793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45793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45793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45793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45793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45793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45793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45793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45793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45793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45793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45793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45793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45793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45793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45793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45793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45793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45793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45793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45793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45793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45793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45793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45793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45793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45793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45793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45793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45793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45793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45793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45793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45793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45793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45793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45793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45793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45793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45793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45793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45793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45793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45793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45793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45793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45793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45793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45793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45793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45793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45793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45793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45793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45793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45793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45793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45793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45793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45793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45793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45793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45793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45793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45793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45793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45793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45793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45793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45793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45793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45793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45793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45793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45793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45793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45793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45793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45793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45793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45793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45793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45793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45793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45793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45793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45793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45793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45793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45793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45793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45793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45793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45793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45793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45793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45793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45793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45793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45793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45793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45793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45793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45793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45793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45793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45793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45793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45793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45793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45793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45793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45793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45793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45793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45793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45793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45793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45793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45793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45793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45793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45793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45793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45793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45793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45793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45793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45793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45793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45793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45793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45793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45793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45793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45793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45793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45793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45793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45793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45793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45793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45793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45793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45793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45793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45793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45793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45793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45793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45793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45793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45793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45793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45793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45793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45793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45793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45793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45793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45793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45793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45793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45793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45793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45793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45793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45793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45793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45793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45793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45793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45793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45793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45793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45793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45793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45793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45793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45793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45793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45793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45793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45793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45793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45793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45793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45793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45793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45793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45793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45793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45793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45793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45793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45793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45793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45793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45793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45793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45793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45793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45793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45793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45793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45793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45793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45793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45793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45793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45793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45793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45793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45793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45793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45793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45793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45793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45793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45793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45793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45793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45793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45793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45793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45793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45793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45793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45793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45793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45793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45793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45793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45793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45793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45793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45793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45793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45793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45793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45793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45793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45793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45793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45793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45793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45793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45793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45793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45793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45793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45793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45793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45793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45793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45793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45793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45793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45793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45793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45793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45793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45793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45793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45793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45793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45793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45793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45793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45793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45793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45793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45793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45793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45793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45793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45793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45793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45793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45793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45793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45793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45793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45793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45793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45793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45793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45793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45793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45793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45793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45793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45793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45793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45793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45793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45793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45793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45793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45793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45793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45793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45793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45793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45793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45793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45793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45793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45793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45793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45793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45793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45793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45793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45793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45793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45793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45793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45793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45793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45793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45793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45793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45793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45793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45793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45793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45793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45793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45793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45793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45793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45793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45793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45793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45793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45793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45793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45793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45793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45793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45793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45793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45793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45793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45793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45793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45793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45793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45793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45793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45793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45793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45793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45793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45793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45793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45793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45793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45793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45793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45793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45793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45793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45793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45793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45793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45793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45793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45793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45793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45793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45793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45793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45793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45793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45793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45793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45793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45793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45793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45793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45793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45793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45793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45793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45793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45793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45793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45793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45793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45793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45793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45793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45793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45793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45793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45793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45793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45793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45793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45793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45793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45793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45793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45793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45793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45793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45793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45793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45793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45793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45793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45793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45793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45793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45793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45793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45793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45793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45793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45793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45793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45793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45793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45793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45793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45793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45793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45793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45793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45793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45793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45793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45793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45793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45793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45793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45793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45793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45793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45793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45793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45793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45793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45793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45793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45793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45793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45793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45793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45793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45793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45793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45793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45793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45793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45793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45793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45793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45793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45793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45793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45793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45793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45793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45793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45793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45793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45793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45793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45793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45793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45793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45793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45793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45793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45793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45793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45793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45793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45793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45793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45793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45793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45793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45793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45793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45793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45793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45793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45793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45793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45793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45793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45793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45793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45793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45793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45793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45793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45793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45793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45793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45793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45793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45793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45793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45793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45793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45793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45793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45793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45793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45793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45793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45793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45793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45793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45793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45793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45793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45793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45793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45793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45793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45793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45793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45793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45793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45793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45793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45793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45793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45793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45793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45793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45793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45793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45793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45793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45793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45793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45793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45793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45793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45793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45793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45793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45793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45793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45793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45793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45793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45793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45793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45793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45793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45793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45793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45793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45793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45793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45793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45793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45793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45793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45793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45793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45793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45793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45793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45793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45793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45793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45793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45793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45793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45793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45793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45793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45793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45793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45793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45793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45793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45793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45793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45793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45793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45793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45793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45793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45793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45793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45793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45793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45793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45793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45793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45793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45793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45793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45793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45793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45793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45793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45793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45793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45793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45793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45793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45793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45793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45793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45793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45793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45793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45793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45793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45793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45793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45793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45793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45793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45793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45793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45793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45793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45793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45793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45793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45793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45793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45793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45793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45793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45793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45793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45793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45793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45793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45793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45793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45793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45793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45793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45793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45793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45793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45793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45793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45793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45793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45793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45793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45793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45793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45793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45793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45793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45793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45793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45793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45793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45793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45793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45793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45793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45793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45793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45793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45793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45793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45793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45793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45793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45793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45793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45793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45793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45793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45793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45793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45793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45793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45793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45793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45793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45793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45793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45793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45793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45793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45793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45793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45793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45793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45793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45793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45793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45793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45793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45793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45793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45793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45793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45793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45793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45793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45793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45793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45793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45793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45793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45793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45793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45793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45793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45793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45793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45793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45793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45793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45793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45793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45793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45793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45793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45793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45793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45793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45793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45793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45793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45793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45793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45793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45793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45793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45793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45793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45793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45793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45793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45793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45793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45793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45793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45793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45793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45793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45793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45793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45793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45793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45793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45793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45793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45793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45793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45793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45793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45793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45793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45793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45793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45793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45793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45793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45793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45793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45793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45793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45793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45793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45793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45793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45793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45793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45793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45793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45793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45793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45793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45793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45793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45793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45793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45793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45793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45793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45793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45793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45793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45793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45793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45793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45793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45793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45793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45793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45793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45793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45793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45793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45793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45793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45793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45793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45793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45793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45793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45793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45793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45793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45793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45793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45793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45793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45793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45793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45793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45793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45793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45793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45793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45793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45793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45793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45793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45793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45793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45793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45793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45793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45793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45793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45793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45793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45793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45793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45793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45793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45793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45793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45793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45793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45793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45793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45793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45793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45793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45793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45793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45793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45793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45793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45793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45793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45793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45793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45793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45793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45793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45793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45793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45793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45793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45793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45793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45793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45793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45793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45793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45793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45793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45793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45793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45793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45793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45793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45793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45793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45793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45793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45793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45793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45793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45793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45793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45793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45793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45793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45793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45793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45793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45793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45793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45793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45793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45793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45793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45793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45793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45793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45793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45793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45793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45793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45793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45793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45793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45793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45793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45793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45793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45793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45793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45793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45793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45793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45793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45793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45793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45793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45793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45793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45793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45793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45793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45793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45793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45793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45793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45793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45793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45793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45793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45793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45793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45793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45793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45793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45793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45793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45793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45793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45793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45793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45793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45793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45793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45793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45793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45793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45793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45793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45793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45793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45793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45793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45793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45793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45793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45793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45793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45793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45793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45793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45793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45793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45793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45793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45793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45793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45793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45793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45793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45793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45793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45793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45793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45793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45793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45793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45793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45793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45793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45793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45793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45793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45793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45793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45793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45793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45793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45793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45793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45793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45793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45793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45793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45793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45793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45793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45793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45793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45793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45793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45793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45793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45793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45793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45793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45793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45793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45793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45793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45793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45793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45793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45793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45793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45793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45793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45793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45793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45793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45793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45793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45793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45793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45793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45793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45793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45793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45793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45793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45793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45793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45793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45793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45793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45793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45793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45793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45793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45793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45793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45793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45793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45793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45793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45793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45793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45793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45793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45793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45793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45793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45793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45793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45793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45793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45793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45793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45793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45793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45793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45793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45793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45793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45793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45793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45793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45793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45793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45793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45793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45793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45793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45793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45793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45793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45793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45793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45793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45793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45793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45793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45793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45793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45793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45793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45793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45793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45793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45793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45793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45793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45793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45793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45793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45793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45793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45793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45793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45793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45793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45793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45793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45793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45793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45793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45793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45793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45793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45793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45793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45793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45793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45793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45793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45793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45793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45793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45793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45793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45793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45793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45793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45793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45793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45793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45793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45793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45793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45793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45793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45793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45793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45793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45793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45793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45793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45793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45793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45793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45793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45793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45793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45793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45793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45793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45793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45793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45793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45793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45793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45793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45793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45793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45793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45793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45793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45793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45793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45793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45793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45793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45793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45793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45793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45793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45793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45793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45793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45793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45793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45793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45793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45793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45793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45793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45793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45793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45793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45793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45793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45793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45793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45793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45793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45793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45793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45793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45793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45793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45793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45793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45793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45793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45793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45793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45793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45793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45793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45793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45793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45793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45793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45793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45793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45793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45793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45793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45793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45793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45793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45793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45793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45793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45793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45793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45793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45793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45793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45793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45793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45793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45793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45793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45793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45793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45793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45793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45793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45793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45793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45793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45793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45793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45793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45793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45793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45793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45793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45793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45793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45793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45793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45793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45793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45793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45793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45793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45793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45793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45793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45793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45793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45793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45793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45793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45793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45793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45793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45793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45793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45793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45793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45793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45793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45793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45793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45793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45793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45793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45793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45793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45793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45793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45793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45793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45793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45793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45793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45793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45793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45793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45793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45793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45793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45793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45793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45793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45793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45793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45793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45793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45793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45793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45793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45793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45793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45793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45793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45793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45793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45793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45793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45793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45793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45793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45793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45793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45793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45793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45793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45793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45793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45793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45793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45793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45793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45793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45793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45793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45793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45793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45793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45793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45793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45793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45793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45793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45793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45793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45793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45793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45793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45793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45793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45793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45793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45793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45793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45793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45793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45793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45793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45793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45793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45793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45793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45793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45793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45793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45793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45793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45793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45793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45793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45793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45793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45793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45793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45793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45793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45793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45793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45793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45793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45793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45793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45793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45793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45793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45793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45793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45793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45793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45793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45793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45793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45793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45793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45793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45793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45793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45793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45793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45793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45793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45793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45793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45793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45793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45793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45793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45793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45793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45793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45793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45793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45793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45793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45793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45793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45793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45793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45793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45793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45793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45793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45793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45793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45793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45793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45793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45793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45793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45793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45793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45793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45793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45793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45793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45793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45793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45793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45793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45793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45793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45793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45793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45793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45793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45793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45793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45793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45793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45793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45793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45793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45793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45793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45793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45793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45793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45793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45793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45793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45793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45793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45793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45793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45793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45793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45793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45793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45793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45793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45793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45793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45793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45793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45793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45793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45793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45793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45793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45793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45793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45793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45793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45793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45793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45793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45793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45793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45793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45793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45793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45793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45793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45793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45793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45793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45793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45793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45793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45793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45793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45793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45793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45793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45793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45793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45793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45793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45793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45793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45793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45793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45793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45793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45793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45793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45793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45793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45793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45793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45793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45793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45793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45793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45793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45793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45793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45793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45793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45793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45793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45793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45793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45793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45793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45793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45793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45793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45793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45793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45793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45793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45793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45793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45793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45793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45793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45793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45793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45793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45793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45793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45793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45793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45793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45793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45793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45793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45793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45793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45793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45793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45793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45793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45793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45793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45793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45793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45793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45793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45793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45793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45793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45793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45793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45793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45793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45793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45793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45793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45793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45793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45793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45793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45793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45793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45793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45793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45793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45793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45793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45793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45793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45793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45793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45793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45793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45793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45793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45793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45793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45793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45793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45793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45793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45793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45793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45793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45793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45793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45793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45793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45793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45793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45793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45793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45793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45793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45793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45793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45793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45793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45793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45793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45793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45793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45793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45793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45793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45793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45793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45793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45793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45793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45793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45793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45793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45793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45793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45793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45793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45793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45793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45793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45793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45793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45793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45793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45793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45793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45793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45793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45793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45793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45793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45793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45793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45793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45793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45793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45793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45793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45793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45793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45793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45793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45793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45793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45793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45793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45793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45793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45793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45793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45793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45793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45793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45793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45793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45793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45793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45793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45793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45793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45793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45793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45793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45793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45793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45793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45793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45793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45793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45793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45793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45793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45793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45793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45793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45793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45793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45793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45793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45793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45793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45793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45793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45793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45793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45793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45793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45793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45793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45793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45793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45793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45793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45793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45793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45793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45793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45793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45793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45793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45793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45793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45793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45793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45793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45793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45793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45793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45793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45793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45793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45793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45793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45793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45793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45793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45793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45793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45793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45793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45793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45793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45793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45793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45793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45793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45793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45793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45793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45793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45793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45793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45793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45793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45793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45793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45793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45793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45793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45793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45793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45793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45793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45793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45793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45793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45793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45793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45793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45793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45793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45793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45793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45793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45793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45793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45793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45793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45793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45793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45793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45793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45793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45793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45793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45793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45793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45793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45793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45793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45793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45793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45793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45793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45793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45793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45793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45793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45793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45793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45793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45793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45793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45793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45793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45793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45793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45793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45793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45793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45793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45793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45793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45793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45793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45793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45793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45793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45793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45793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45793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45793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45793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45793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45793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45793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45793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45793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45793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45793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45793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45793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45793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45793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45793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45793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45793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45793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45793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45793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45793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45793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45793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45793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45793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45793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45793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45793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45793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45793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45793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45793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45793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45793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45793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45793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45793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45793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45793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45793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45793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45793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45793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45793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45793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45793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45793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45793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45793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45793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45793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45793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45793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45793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45793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45793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45793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45793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45793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45793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45793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45793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45793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45793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45793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45793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45793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45793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45793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45793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45793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45793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45793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45793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45793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45793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45793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45793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45793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45793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45793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45793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45793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45793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45793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45793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45793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45793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45793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45793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45793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45793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45793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45793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45793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45793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45793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45793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45793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45793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45793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45793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45793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45793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45793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45793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45793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45793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45793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45793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45793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45793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45793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45793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45793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45793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45793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45793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45793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45793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45793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45793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45793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45793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45793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45793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45793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45793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45793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45793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45793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45793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45793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45793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45793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45793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45793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45793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45793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45793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45793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45793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45793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45793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45793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45793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45793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45793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45793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45793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45793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45793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45793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45793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45793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45793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45793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45793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45793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45793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45793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45793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45793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45793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45793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45793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45793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45793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45793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45793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45793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45793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45793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45793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45793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45793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45793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45793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45793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45793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45793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45793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45793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45793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45793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45793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45793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45793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45793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45793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45793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45793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45793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45793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45793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45793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45793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45793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45793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45793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45793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45793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45793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45793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45793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45793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45793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45793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45793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45793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45793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45793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45793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45793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45793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45793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45793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45793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45793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45793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45793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45793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45793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45793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45793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45793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45793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45793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45793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45793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45793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45793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45793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45793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45793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45793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45793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45793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45793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45793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45793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45793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45793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45793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45793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45793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45793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45793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45793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45793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45793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45793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45793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45793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45793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45793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45793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45793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45793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45793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45793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45793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45793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45793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45793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45793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45793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45793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45793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45793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45793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45793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45793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45793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45793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45793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45793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45793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45793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45793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45793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45793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45793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45793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45793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45793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45793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45793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45793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45793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45793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45793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45793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45793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45793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45793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45793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45793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45793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45793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45793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45793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45793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45793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45793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45793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45793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45793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45793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45793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45793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45793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45793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45793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45793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45793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45793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45793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45793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45793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45793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45793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45793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45793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45793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45793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45793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45793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45793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45793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45793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45793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45793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45793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45793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45793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45793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45793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45793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45793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45793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45793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45793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45793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45793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45793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45793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45793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45793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45793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45793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45793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45793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45793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45793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45793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45793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45793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45793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45793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45793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45793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45793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45793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45793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45793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45793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45793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45793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45793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45793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45793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45793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45793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45793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45793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45793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45793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45793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45793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45793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45793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45793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45793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45793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45793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45793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45793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45793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45793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45793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45793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45793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45793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45793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45793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45793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45793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45793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45793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45793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45793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45793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45793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45793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45793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45793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45793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45793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45793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45793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45793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45793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45793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45793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45793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45793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45793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45793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45793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45793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45793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45793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45793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45793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45793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45793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45793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45793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45793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45793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45793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45793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45793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45793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45793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45793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45793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45793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45793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45793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45793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45793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45793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45793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45793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45793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45793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45793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45793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45793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45793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45793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45793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45793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45793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45793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45793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45793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45793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45793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45793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45793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45793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45793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45793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45793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45793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45793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45793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45793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45793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45793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45793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45793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45793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45793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45793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45793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45793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45793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45793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45793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45793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45793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45793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45793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45793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45793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45793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45793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45793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45793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45793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45793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45793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45793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45793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45793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45793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45793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45793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45793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45793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45793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45793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45793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45793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45793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45793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45793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45793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45793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45793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45793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45793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45793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45793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45793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45793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45793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45793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45793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45793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45793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45793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45793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45793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45793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45793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45793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45793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45793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45793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45793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45793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45793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45793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45793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45793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45793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45793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45793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45793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45793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45793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45793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45793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45793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45793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45793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45793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45793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45793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45793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45793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45793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45793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45793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45793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45793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45793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45793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45793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45793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45793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45793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45793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45793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45793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45793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45793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45793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45793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45793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45793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45793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45793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45793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45793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45793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45793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45793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45793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45793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45793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45793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45793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45793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45793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45793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45793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45793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45793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45793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45793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45793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45793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45793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45793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45793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45793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45793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45793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45793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45793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45793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45793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45793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45793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45793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45793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45793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45793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45793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45793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45793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45793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45793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45793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45793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45793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45793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45793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45793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45793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45793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45793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45793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45793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45793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45793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45793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45793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45793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45793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45793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45793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45793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45793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45793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45793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45793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45793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45793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45793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45793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45793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45793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45793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45793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45793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45793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45793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45793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45793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45793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45793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45793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45793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45793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45793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45793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45793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45793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45793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45793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45793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45793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45793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45793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45793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45793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45793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45793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45793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45793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45793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45793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45793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45793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45793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45793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45793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45793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45793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45793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45793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45793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45793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45793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45793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45793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45793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45793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45793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45793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45793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45793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45793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45793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45793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45793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45793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45793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45793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45793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45793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45793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45793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45793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45793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45793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45793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45793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45793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45793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45793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45793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45793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45793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45793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45793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45793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45793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45793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45793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45793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45793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45793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45793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45793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45793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45793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45793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45793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45793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45793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45793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45793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45793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45793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45793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45793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45793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45793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45793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45793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45793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45793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45793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45793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45793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45793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45793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45793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45793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45793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45793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45793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45793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45793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45793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45793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45793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45793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45793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45793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45793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45793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45793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45793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45793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45793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45793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45793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45793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45793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45793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45793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45793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45793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45793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45793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45793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45793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45793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45793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45793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45793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45793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45793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45793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45793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45793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45793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45793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45793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45793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45793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45793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45793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45793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45793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45793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45793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45793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45793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45793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45793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45793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45793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45793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45793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45793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45793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45793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45793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45793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45793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45793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45793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45793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45793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45793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45793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45793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45793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45793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45793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45793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45793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45793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45793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45793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45793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45793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45793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45793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45793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45793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45793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45793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45793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45793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45793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45793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45793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45793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45793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45793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45793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45793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45793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45793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45793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45793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45793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45793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45793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45793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45793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45793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45793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45793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45793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45793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45793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45793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45793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45793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45793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45793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45793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45793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45793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45793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45793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45793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45793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45793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45793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45793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45793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45793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45793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45793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45793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45793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45793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45793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45793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45793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45793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45793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45793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45793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45793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45793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45793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45793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45793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45793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45793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45793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45793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45793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45793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45793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45793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45793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45793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45793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45793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45793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45793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45793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45793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45793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45793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45793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45793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45793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45793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45793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45793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45793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45793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45793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45793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45793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45793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45793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45793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45793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45793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45793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45793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45793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45793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45793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45793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45793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45793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45793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45793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45793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45793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45793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45793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45793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45793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45793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45793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45793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45793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45793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45793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45793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45793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45793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45793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45793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45793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45793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45793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45793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45793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45793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45793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45793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45793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45793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45793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45793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45793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45793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45793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45793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45793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45793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45793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45793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45793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45793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45793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45793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45793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45793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45793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45793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45793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45793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45793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45793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45793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45793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45793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45793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45793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45793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45793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45793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45793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45793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45793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45793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45793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45793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45793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45793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45793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45793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45793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45793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45793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45793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45793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45793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45793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45793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45793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45793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45793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45793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45793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45793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45793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45793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45793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45793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45793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45793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45793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45793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45793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45793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45793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45793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45793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45793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45793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45793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45793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45793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45793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45793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45793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45793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45793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45793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45793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45793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45793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45793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45793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45793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45793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45793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45793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45793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45793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45793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45793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45793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45793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45793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45793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45793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45793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45793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45793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45793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45793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45793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45793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45793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45793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45793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45793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45793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45793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45793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45793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45793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45793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45793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45793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45793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45793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45793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45793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45793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45793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45793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45793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45793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45793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45793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45793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45793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45793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45793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45793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45793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45793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45793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45793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45793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45793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45793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45793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45793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45793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45793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45793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45793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45793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45793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45793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45793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45793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45793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45793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45793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45793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45793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45793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45793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45793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45793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45793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45793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45793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45793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45793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45793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45793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45793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45793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45793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45793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45793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45793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45793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45793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45793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45793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45793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45793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45793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45793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45793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45793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45793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45793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45793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45793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45793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45793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45793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45793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45793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45793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45793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45793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45793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45793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45793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45793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45793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45793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45793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45793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45793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45793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45793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45793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45793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45793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45793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45793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45793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45793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45793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45793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45793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45793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45793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45793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45793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45793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45793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45793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45793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45793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45793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45793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45793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45793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45793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45793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45793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45793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45793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45793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45793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45793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45793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45793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45793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45793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45793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45793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45793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45793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45793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45793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45793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45793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45793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45793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45793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45793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45793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45793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45793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45793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45793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45793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45793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45793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45793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45793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45793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45793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45793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45793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45793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45793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45793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45793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45793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45793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45793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45793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45793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45793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45793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45793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45793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45793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45793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45793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45793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45793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45793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45793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45793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45793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45793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45793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45793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45793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45793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45793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45793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45793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45793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45793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45793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45793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45793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45793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45793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45793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45793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45793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45793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45793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45793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45793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45793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45793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45793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45793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45793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45793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45793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45793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45793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45793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45793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45793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45793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45793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45793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45793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45793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45793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45793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45793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45793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45793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45793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45793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45793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45793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45793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45793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45793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45793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45793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45793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45793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45793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45793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45793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45793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45793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45793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45793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45793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45793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45793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45793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45793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45793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45793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45793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45793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45793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45793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45793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45793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45793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45793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45793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45793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45793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45793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45793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45793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45793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45793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45793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45793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45793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45793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45793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45793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45793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45793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45793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45793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45793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45793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45793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45793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45793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45793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45793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45793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45793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45793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45793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45793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45793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45793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45793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45793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45793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45793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45793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45793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45793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45793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45793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45793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45793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45793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45793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45793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45793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45793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45793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45793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45793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45793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45793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45793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45793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45793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45793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45793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45793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45793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45793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45793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45793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45793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45793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45793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45793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45793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45793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45793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45793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45793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45793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45793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45793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45793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45793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45793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45793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45793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45793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45793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45793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45793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45793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45793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45793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45793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45793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45793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45793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45793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45793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45793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45793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45793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45793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45793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45793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45793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45793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45793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45793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45793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45793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45793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45793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45793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45793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45793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45793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45793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45793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45793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45793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45793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45793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45793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45793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45793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45793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45793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45793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45793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45793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45793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45793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45793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45793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45793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45793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45793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45793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45793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45793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45793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45793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45793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45793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45793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45793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45793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45793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45793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45793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45793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45793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45793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45793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45793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45793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45793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45793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45793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45793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45793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45793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45793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45793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45793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45793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45793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45793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45793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45793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45793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45793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45793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45793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45793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45793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45793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45793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45793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45793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45793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45793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45793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45793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45793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45793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45793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45793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45793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45793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45793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45793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45793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45793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45793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45793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45793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45793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45793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45793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45793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45793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45793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45793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45793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45793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45793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45793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45793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45793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45793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45793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45793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45793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45793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45793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45793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45793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45793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45793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45793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45793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45793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45793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45793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45793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45793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45793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45793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45793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45793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45793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45793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45793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45793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45793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45793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45793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45793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45793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45793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45793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45793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45793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45793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45793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45793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45793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45793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45793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45793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45793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45793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45793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45793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45793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45793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45793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45793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45793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45793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45793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45793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45793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45793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45793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45793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45793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45793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45793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45793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45793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45793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45793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45793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45793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45793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45793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45793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45793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45793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45793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45793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45793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45793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45793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45793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45793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45793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45793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45793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45793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45793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45793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45793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45793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45793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45793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45793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45793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45793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45793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45793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45793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45793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45793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45793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45793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45793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45793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45793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45793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45793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45793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45793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45793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45793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45793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45793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45793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45793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45793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45793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45793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45793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45793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45793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45793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45793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45793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45793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45793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45793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45793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45793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45793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45793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45793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45793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45793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45793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45793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45793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45793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45793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45793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45793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45793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45793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45793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45793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45793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45793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45793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45793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45793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45793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45793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45793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45793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45793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45793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45793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45793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45793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45793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45793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45793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45793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45793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45793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45793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45793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45793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45793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45793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45793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45793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45793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45793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45793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45793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45793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45793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45793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45793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45793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45793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45793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45793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45793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45793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45793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45793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45793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45793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45793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45793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45793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45793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45793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45793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45793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45793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45793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45793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45793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45793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45793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45793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45793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45793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45793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45793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45793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45793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45793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45793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45793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45793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45793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45793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45793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45793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45793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45793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45793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45793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45793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45793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45793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45793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45793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45793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45793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45793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45793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45793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45793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45793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45793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45793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45793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45793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45793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45793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45793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45793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45793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45793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45793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45793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45793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45793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45793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45793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45793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45793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45793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45793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45793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45793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45793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45793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45793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45793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45793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45793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45793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45793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45793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45793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45793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45793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45793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45793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45793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45793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45793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45793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45793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45793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45793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45793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45793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45793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45793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45793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45793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45793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45793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45793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45793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45793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45793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45793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45793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45793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45793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45793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45793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45793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45793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45793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45793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45793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45793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45793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45793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45793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45793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45793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45793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45793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45793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45793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45793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45793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45793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45793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45793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45793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45793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45793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45793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45793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45793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45793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45793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45793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45793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45793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45793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45793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45793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45793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45793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45793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45793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45793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45793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45793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45793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45793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45793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45793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45793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45793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45793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45793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45793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45793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45793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45793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45793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45793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45793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45793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45793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45793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45793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45793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45793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45793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45793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45793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45793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45793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45793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45793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45793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45793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45793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45793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45793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45793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45793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45793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45793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45793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45793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45793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45793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45793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45793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45793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45793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45793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45793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45793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45793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45793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45793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45793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45793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45793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45793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45793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45793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45793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45793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45793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45793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45793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45793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45793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45793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45793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45793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45793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45793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45793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45793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45793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45793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45793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45793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45793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45793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45793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45793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45793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45793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45793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45793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45793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45793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45793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45793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45793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45793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45793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45793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45793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45793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45793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45793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45793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45793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45793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45793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45793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45793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45793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45793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45793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45793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45793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45793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45793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45793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45793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45793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45793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45793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45793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45793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45793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45793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45793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45793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45793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45793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45793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45793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45793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45793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45793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45793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45793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45793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45793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45793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45793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45793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45793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45793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45793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45793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45793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45793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45793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45793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45793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45793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45793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45793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45793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45793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45793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45793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45793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45793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45793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45793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45793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45793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45793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45793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45793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45793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45793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45793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45793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45793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45793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45793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45793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45793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45793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45793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45793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45793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45793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45793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45793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45793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45793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45793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45793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45793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45793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45793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45793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45793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45793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45793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45793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45793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45793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45793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45793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45793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45793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45793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45793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45793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45793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45793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45793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45793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45793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45793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45793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45793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45793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45793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45793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45793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45793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45793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45793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45793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45793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45793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45793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45793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45793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45793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45793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45793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45793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45793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45793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45793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45793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45793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45793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45793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45793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45793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45793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45793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45793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45793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45793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45793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45793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45793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45793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45793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45793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45793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45793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45793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45793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45793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45793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45793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45793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45793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45793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45793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45793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45793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45793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45793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45793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45793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45793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45793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45793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45793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45793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45793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45793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45793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45793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45793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45793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45793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45793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45793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45793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45793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45793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45793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45793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45793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45793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45793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45793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45793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45793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45793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45793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45793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45793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45793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45793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45793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45793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45793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45793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45793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45793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45793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45793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45793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45793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45793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45793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45793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45793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45793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45793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45793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45793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45793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45793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45793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45793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45793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45793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45793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45793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45793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45793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45793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45793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45793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45793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45793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45793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45793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45793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45793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45793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45793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45793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45793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45793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45793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45793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45793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45793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45793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45793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45793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45793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45793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45793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45793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45793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45793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45793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45793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45793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45793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45793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45793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45793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45793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45793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45793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45793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45793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45793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45793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45793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45793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45793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45793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45793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45793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45793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45793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45793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45793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45793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45793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45793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45793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45793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45793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45793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45793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45793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45793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45793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45793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45793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45793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45793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45793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45793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45793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45793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45793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45793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45793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45793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45793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45793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45793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45793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45793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45793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45793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45793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45793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45793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45793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45793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45793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45793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45793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45793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45793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45793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45793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45793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45793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45793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45793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45793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45793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45793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45793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45793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45793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45793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45793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45793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45793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45793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45793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45793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45793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45793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45793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45793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45793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45793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45793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45793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45793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45793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45793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45793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45793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45793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45793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45793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45793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45793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45793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45793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45793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45793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45793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45793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45793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45793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45793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45793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45793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45793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45793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45793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45793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45793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45793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45793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45793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45793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45793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45793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45793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45793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45793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45793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45793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45793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45793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45793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45793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45793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45793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45793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45793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45793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45793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45793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45793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45793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45793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45793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45793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45793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45793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45793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45793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45793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45793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45793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45793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45793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45793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45793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45793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45793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45793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45793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45793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45793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45793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45793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45793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45793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45793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45793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45793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45793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45793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45793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45793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45793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45793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45793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45793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45793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45793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45793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45793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45793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45793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45793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45793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45793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45793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45793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45793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45793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45793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45793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45793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45793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45793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45793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45793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45793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45793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45793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45793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45793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45793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45793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45793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45793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45793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45793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45793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45793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45793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45793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45793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45793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45793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45793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45793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45793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45793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45793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45793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45793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45793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45793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45793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45793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45793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45793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45793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45793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45793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45793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45793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45793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45793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45793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45793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45793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45793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45793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45793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45793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45793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45793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45793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45793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45793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45793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45793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45793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45793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45793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45793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45793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45793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45793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45793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45793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45793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45793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45793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45793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45793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45793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45793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45793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45793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45793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45793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45793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45793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45793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45793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45793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45793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45793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45793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45793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45793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45793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45793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45793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45793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45793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45793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45793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45793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45793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45793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45793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45793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45793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45793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45793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45793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45793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45793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45793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45793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45793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45793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45793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45793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45793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45793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45793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45793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45793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45793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45793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45793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45793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45793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45793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45793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45793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45793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45793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45793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45793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45793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45793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45793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45793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45793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45793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45793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45793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45793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45793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45793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45793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45793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45793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45793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45793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45793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45793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45793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45793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45793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45793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45793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45793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45793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45793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45793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45793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45793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45793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45793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45793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45793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45793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45793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45793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45793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45793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45793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45793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45793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45793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45793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45793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45793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45793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45793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45793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45793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45793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45793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45793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45793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45793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45793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45793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45793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45793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45793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45793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45793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45793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45793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45793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45793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45793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45793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45793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45793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45793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45793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45793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45793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45793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45793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45793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45793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45793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45793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45793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45793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45793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45793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45793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45793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45793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45793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45793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45793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45793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45793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45793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45793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45793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45793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45793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45793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45793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45793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45793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45793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45793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45793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45793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45793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45793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45793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45793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45793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45793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45793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45793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45793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45793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45793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45793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45793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45793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45793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45793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45793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45793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45793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45793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45793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45793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45793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45793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45793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45793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45793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45793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45793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45793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45793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45793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45793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45793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45793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45793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45793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45793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45793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45793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45793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45793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45793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45793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45793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45793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45793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45793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45793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45793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45793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45793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45793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45793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45793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45793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45793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45793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45793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45793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45793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45793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45793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45793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45793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45793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45793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45793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45793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45793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45793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45793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45793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45793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45793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45793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45793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45793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45793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45793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45793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45793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45793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45793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45793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45793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45793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45793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45793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45793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45793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45793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45793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45793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45793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45793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45793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45793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45793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45793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45793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45793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45793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45793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45793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45793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45793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45793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45793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45793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45793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45793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45793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45793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45793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45793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45793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45793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45793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45793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45793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45793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45793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45793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45793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45793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45793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45793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45793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45793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45793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45793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45793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45793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45793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45793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45793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45793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45793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45793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45793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45793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45793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45793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45793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45793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45793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45793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45793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45793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45793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45793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45793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45793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45793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45793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45793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45793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45793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45793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45793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45793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45793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45793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45793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45793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45793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45793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45793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45793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45793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45793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45793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45793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45793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45793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45793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45793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45793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45793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45793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45793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45793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45793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45793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45793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45793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45793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45793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45793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45793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45793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45793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45793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45793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45793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45793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45793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45793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45793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45793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45793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45793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45793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45793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45793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45793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45793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45793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45793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45793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45793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45793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45793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45793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45793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45793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45793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45793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45793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45793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45793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45793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45793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45793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45793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45793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45793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45793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45793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45793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45793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45793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45793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45793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45793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45793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45793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45793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45793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45793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45793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45793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45793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45793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45793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45793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45793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45793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45793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45793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45793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45793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45793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45793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45793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45793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45793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45793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45793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45793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45793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45793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45793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45793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45793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45793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45793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45793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45793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45793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45793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45793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45793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45793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45793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45793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45793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45793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45793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45793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45793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45793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45793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45793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45793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45793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45793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45793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45793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45793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45793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45793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45793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45793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45793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45793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45793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45793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45793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45793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45793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45793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45793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45793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45793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45793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45793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45793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45793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45793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45793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45793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45793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45793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45793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45793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45793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45793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45793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45793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45793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45793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45793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45793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45793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45793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45793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45793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45793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45793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45793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45793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45793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45793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45793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45793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45793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45793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45793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45793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45793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45793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45793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45793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45793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45793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45793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45793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45793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45793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45793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45793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45793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45793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45793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45793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45793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45793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45793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45793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45793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45793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45793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45793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45793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45793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45793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45793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45793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45793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45793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45793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45793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45793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45793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45793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45793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45793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45793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45793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45793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45793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45793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45793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45793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45793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45793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45793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45793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45793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45793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45793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45793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45793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45793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45793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45793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45793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45793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45793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45793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45793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45793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45793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45793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45793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45793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45793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45793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45793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45793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45793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45793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45793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45793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45793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45793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45793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45793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45793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45793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45793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45793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45793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45793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45793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45793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45793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45793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45793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45793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45793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45793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45793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45793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45793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45793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45793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45793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45793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45793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45793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45793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45793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45793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45793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45793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45793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45793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45793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45793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45793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45793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45793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45793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45793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45793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45793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45793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45793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45793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45793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45793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45793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45793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45793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45793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45793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45793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45793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45793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45793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45793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45793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45793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45793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45793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45793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45793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45793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45793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45793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45793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45793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45793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45793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45793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45793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45793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45793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45793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45793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45793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45793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45793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45793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45793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45793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45793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45793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45793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45793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45793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45793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45793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45793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45793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45793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45793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45793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45793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45793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45793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45793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45793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45793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45793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45793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45793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45793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45793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45793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45793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45793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45793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45793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45793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45793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45793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45793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45793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45793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45793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45793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45793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45793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45793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45793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45793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45793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45793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45793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45793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45793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45793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45793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45793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45793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45793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45793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45793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45793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45793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45793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45793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45793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45793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45793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45793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45793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45793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45793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45793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45793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45793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45793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45793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45793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45793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45793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45793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45793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45793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45793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45793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45793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45793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45793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45793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45793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45793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45793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45793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45793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45793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45793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45793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45793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45793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45793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45793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45793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45793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45793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45793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45793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45793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45793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45793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45793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45793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45793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45793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45793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45793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45793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45793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45793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45793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45793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45793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45793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45793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45793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45793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45793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45793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45793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45793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45793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45793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45793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45793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45793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45793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45793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45793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45793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45793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45793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45793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45793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45793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45793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45793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45793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45793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45793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45793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45793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45793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45793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45793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45793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45793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45793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45793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45793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45793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45793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45793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45793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45793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45793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45793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45793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45793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18721-2025</t>
        </is>
      </c>
      <c r="B12818" s="1" t="n">
        <v>45763</v>
      </c>
      <c r="C12818" s="1" t="n">
        <v>45793</v>
      </c>
      <c r="D12818" t="inlineStr">
        <is>
          <t>JÖNKÖPINGS LÄN</t>
        </is>
      </c>
      <c r="E12818" t="inlineStr">
        <is>
          <t>VÄRNAMO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18735-2025</t>
        </is>
      </c>
      <c r="B12819" s="1" t="n">
        <v>45763</v>
      </c>
      <c r="C12819" s="1" t="n">
        <v>45793</v>
      </c>
      <c r="D12819" t="inlineStr">
        <is>
          <t>JÖNKÖPINGS LÄN</t>
        </is>
      </c>
      <c r="E12819" t="inlineStr">
        <is>
          <t>VÄRNAMO</t>
        </is>
      </c>
      <c r="G12819" t="n">
        <v>0.9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18539-2025</t>
        </is>
      </c>
      <c r="B12820" s="1" t="n">
        <v>45763</v>
      </c>
      <c r="C12820" s="1" t="n">
        <v>45793</v>
      </c>
      <c r="D12820" t="inlineStr">
        <is>
          <t>JÖNKÖPINGS LÄN</t>
        </is>
      </c>
      <c r="E12820" t="inlineStr">
        <is>
          <t>VÄRNAMO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18512-2025</t>
        </is>
      </c>
      <c r="B12821" s="1" t="n">
        <v>45763</v>
      </c>
      <c r="C12821" s="1" t="n">
        <v>45793</v>
      </c>
      <c r="D12821" t="inlineStr">
        <is>
          <t>JÖNKÖPINGS LÄN</t>
        </is>
      </c>
      <c r="E12821" t="inlineStr">
        <is>
          <t>JÖNKÖPING</t>
        </is>
      </c>
      <c r="G12821" t="n">
        <v>6.3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  <c r="U12821">
        <f>HYPERLINK("https://klasma.github.io/Logging_060680/knärot/A 18512-2025 karta knärot.png", "A 18512-2025")</f>
        <v/>
      </c>
      <c r="V12821">
        <f>HYPERLINK("https://klasma.github.io/Logging_060680/klagomål/A 18512-2025 FSC-klagomål.docx", "A 18512-2025")</f>
        <v/>
      </c>
      <c r="W12821">
        <f>HYPERLINK("https://klasma.github.io/Logging_060680/klagomålsmail/A 18512-2025 FSC-klagomål mail.docx", "A 18512-2025")</f>
        <v/>
      </c>
      <c r="X12821">
        <f>HYPERLINK("https://klasma.github.io/Logging_060680/tillsyn/A 18512-2025 tillsynsbegäran.docx", "A 18512-2025")</f>
        <v/>
      </c>
      <c r="Y12821">
        <f>HYPERLINK("https://klasma.github.io/Logging_060680/tillsynsmail/A 18512-2025 tillsynsbegäran mail.docx", "A 18512-2025")</f>
        <v/>
      </c>
    </row>
    <row r="12822" ht="15" customHeight="1">
      <c r="A12822" t="inlineStr">
        <is>
          <t>A 18508-2025</t>
        </is>
      </c>
      <c r="B12822" s="1" t="n">
        <v>45763</v>
      </c>
      <c r="C12822" s="1" t="n">
        <v>45793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18514-2025</t>
        </is>
      </c>
      <c r="B12823" s="1" t="n">
        <v>45763</v>
      </c>
      <c r="C12823" s="1" t="n">
        <v>45793</v>
      </c>
      <c r="D12823" t="inlineStr">
        <is>
          <t>JÖNKÖPINGS LÄN</t>
        </is>
      </c>
      <c r="E12823" t="inlineStr">
        <is>
          <t>VETLANDA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18665-2025</t>
        </is>
      </c>
      <c r="B12824" s="1" t="n">
        <v>45763</v>
      </c>
      <c r="C12824" s="1" t="n">
        <v>45793</v>
      </c>
      <c r="D12824" t="inlineStr">
        <is>
          <t>JÖNKÖPINGS LÄN</t>
        </is>
      </c>
      <c r="E12824" t="inlineStr">
        <is>
          <t>VETLANDA</t>
        </is>
      </c>
      <c r="G12824" t="n">
        <v>0.7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18547-2025</t>
        </is>
      </c>
      <c r="B12825" s="1" t="n">
        <v>45763</v>
      </c>
      <c r="C12825" s="1" t="n">
        <v>45793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45793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18588-2025</t>
        </is>
      </c>
      <c r="B12827" s="1" t="n">
        <v>45763</v>
      </c>
      <c r="C12827" s="1" t="n">
        <v>45793</v>
      </c>
      <c r="D12827" t="inlineStr">
        <is>
          <t>JÖNKÖPINGS LÄN</t>
        </is>
      </c>
      <c r="E12827" t="inlineStr">
        <is>
          <t>VETLANDA</t>
        </is>
      </c>
      <c r="G12827" t="n">
        <v>1.4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18604-2025</t>
        </is>
      </c>
      <c r="B12828" s="1" t="n">
        <v>45763</v>
      </c>
      <c r="C12828" s="1" t="n">
        <v>45793</v>
      </c>
      <c r="D12828" t="inlineStr">
        <is>
          <t>JÖNKÖPINGS LÄN</t>
        </is>
      </c>
      <c r="E12828" t="inlineStr">
        <is>
          <t>JÖNKÖPING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18507-2025</t>
        </is>
      </c>
      <c r="B12829" s="1" t="n">
        <v>45763</v>
      </c>
      <c r="C12829" s="1" t="n">
        <v>45793</v>
      </c>
      <c r="D12829" t="inlineStr">
        <is>
          <t>JÖNKÖPINGS LÄN</t>
        </is>
      </c>
      <c r="E12829" t="inlineStr">
        <is>
          <t>VETLANDA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45793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45793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18706-2025</t>
        </is>
      </c>
      <c r="B12832" s="1" t="n">
        <v>45763</v>
      </c>
      <c r="C12832" s="1" t="n">
        <v>45793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0.6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18710-2025</t>
        </is>
      </c>
      <c r="B12833" s="1" t="n">
        <v>45763</v>
      </c>
      <c r="C12833" s="1" t="n">
        <v>45793</v>
      </c>
      <c r="D12833" t="inlineStr">
        <is>
          <t>JÖNKÖPINGS LÄN</t>
        </is>
      </c>
      <c r="E12833" t="inlineStr">
        <is>
          <t>VAGGERYD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18711-2025</t>
        </is>
      </c>
      <c r="B12834" s="1" t="n">
        <v>45763</v>
      </c>
      <c r="C12834" s="1" t="n">
        <v>45793</v>
      </c>
      <c r="D12834" t="inlineStr">
        <is>
          <t>JÖNKÖPINGS LÄN</t>
        </is>
      </c>
      <c r="E12834" t="inlineStr">
        <is>
          <t>VÄRNAMO</t>
        </is>
      </c>
      <c r="G12834" t="n">
        <v>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18519-2025</t>
        </is>
      </c>
      <c r="B12835" s="1" t="n">
        <v>45763</v>
      </c>
      <c r="C12835" s="1" t="n">
        <v>45793</v>
      </c>
      <c r="D12835" t="inlineStr">
        <is>
          <t>JÖNKÖPINGS LÄN</t>
        </is>
      </c>
      <c r="E12835" t="inlineStr">
        <is>
          <t>VAGGERYD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45793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18607-2025</t>
        </is>
      </c>
      <c r="B12837" s="1" t="n">
        <v>45763</v>
      </c>
      <c r="C12837" s="1" t="n">
        <v>45793</v>
      </c>
      <c r="D12837" t="inlineStr">
        <is>
          <t>JÖNKÖPINGS LÄN</t>
        </is>
      </c>
      <c r="E12837" t="inlineStr">
        <is>
          <t>JÖNKÖPING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45793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18509-2025</t>
        </is>
      </c>
      <c r="B12839" s="1" t="n">
        <v>45763</v>
      </c>
      <c r="C12839" s="1" t="n">
        <v>45793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18518-2025</t>
        </is>
      </c>
      <c r="B12840" s="1" t="n">
        <v>45763</v>
      </c>
      <c r="C12840" s="1" t="n">
        <v>45793</v>
      </c>
      <c r="D12840" t="inlineStr">
        <is>
          <t>JÖNKÖPINGS LÄN</t>
        </is>
      </c>
      <c r="E12840" t="inlineStr">
        <is>
          <t>VETLANDA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18531-2025</t>
        </is>
      </c>
      <c r="B12841" s="1" t="n">
        <v>45763</v>
      </c>
      <c r="C12841" s="1" t="n">
        <v>45793</v>
      </c>
      <c r="D12841" t="inlineStr">
        <is>
          <t>JÖNKÖPINGS LÄN</t>
        </is>
      </c>
      <c r="E12841" t="inlineStr">
        <is>
          <t>VÄRNAMO</t>
        </is>
      </c>
      <c r="G12841" t="n">
        <v>0.8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18552-2025</t>
        </is>
      </c>
      <c r="B12842" s="1" t="n">
        <v>45763</v>
      </c>
      <c r="C12842" s="1" t="n">
        <v>45793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18560-2025</t>
        </is>
      </c>
      <c r="B12843" s="1" t="n">
        <v>45763</v>
      </c>
      <c r="C12843" s="1" t="n">
        <v>45793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18969-2025</t>
        </is>
      </c>
      <c r="B12844" s="1" t="n">
        <v>45764</v>
      </c>
      <c r="C12844" s="1" t="n">
        <v>45793</v>
      </c>
      <c r="D12844" t="inlineStr">
        <is>
          <t>JÖNKÖPINGS LÄN</t>
        </is>
      </c>
      <c r="E12844" t="inlineStr">
        <is>
          <t>JÖNKÖPING</t>
        </is>
      </c>
      <c r="G12844" t="n">
        <v>2.7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18833-2025</t>
        </is>
      </c>
      <c r="B12845" s="1" t="n">
        <v>45764</v>
      </c>
      <c r="C12845" s="1" t="n">
        <v>45793</v>
      </c>
      <c r="D12845" t="inlineStr">
        <is>
          <t>JÖNKÖPINGS LÄN</t>
        </is>
      </c>
      <c r="E12845" t="inlineStr">
        <is>
          <t>GISLAVED</t>
        </is>
      </c>
      <c r="G12845" t="n">
        <v>1.8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19017-2025</t>
        </is>
      </c>
      <c r="B12846" s="1" t="n">
        <v>45764</v>
      </c>
      <c r="C12846" s="1" t="n">
        <v>45793</v>
      </c>
      <c r="D12846" t="inlineStr">
        <is>
          <t>JÖNKÖPINGS LÄN</t>
        </is>
      </c>
      <c r="E12846" t="inlineStr">
        <is>
          <t>SÄVSJÖ</t>
        </is>
      </c>
      <c r="G12846" t="n">
        <v>2.1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18770-2025</t>
        </is>
      </c>
      <c r="B12847" s="1" t="n">
        <v>45764</v>
      </c>
      <c r="C12847" s="1" t="n">
        <v>45793</v>
      </c>
      <c r="D12847" t="inlineStr">
        <is>
          <t>JÖNKÖPINGS LÄN</t>
        </is>
      </c>
      <c r="E12847" t="inlineStr">
        <is>
          <t>JÖNKÖPING</t>
        </is>
      </c>
      <c r="G12847" t="n">
        <v>3.3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18771-2025</t>
        </is>
      </c>
      <c r="B12848" s="1" t="n">
        <v>45764</v>
      </c>
      <c r="C12848" s="1" t="n">
        <v>45793</v>
      </c>
      <c r="D12848" t="inlineStr">
        <is>
          <t>JÖNKÖPINGS LÄN</t>
        </is>
      </c>
      <c r="E12848" t="inlineStr">
        <is>
          <t>JÖNKÖPING</t>
        </is>
      </c>
      <c r="G12848" t="n">
        <v>1.7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18823-2025</t>
        </is>
      </c>
      <c r="B12849" s="1" t="n">
        <v>45764</v>
      </c>
      <c r="C12849" s="1" t="n">
        <v>45793</v>
      </c>
      <c r="D12849" t="inlineStr">
        <is>
          <t>JÖNKÖPINGS LÄN</t>
        </is>
      </c>
      <c r="E12849" t="inlineStr">
        <is>
          <t>GISLAVED</t>
        </is>
      </c>
      <c r="G12849" t="n">
        <v>5.4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18972-2025</t>
        </is>
      </c>
      <c r="B12850" s="1" t="n">
        <v>45764</v>
      </c>
      <c r="C12850" s="1" t="n">
        <v>45793</v>
      </c>
      <c r="D12850" t="inlineStr">
        <is>
          <t>JÖNKÖPINGS LÄN</t>
        </is>
      </c>
      <c r="E12850" t="inlineStr">
        <is>
          <t>JÖNKÖPING</t>
        </is>
      </c>
      <c r="G12850" t="n">
        <v>1.4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19019-2025</t>
        </is>
      </c>
      <c r="B12851" s="1" t="n">
        <v>45764</v>
      </c>
      <c r="C12851" s="1" t="n">
        <v>45793</v>
      </c>
      <c r="D12851" t="inlineStr">
        <is>
          <t>JÖNKÖPINGS LÄN</t>
        </is>
      </c>
      <c r="E12851" t="inlineStr">
        <is>
          <t>SÄVSJÖ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19047-2025</t>
        </is>
      </c>
      <c r="B12852" s="1" t="n">
        <v>45764</v>
      </c>
      <c r="C12852" s="1" t="n">
        <v>45793</v>
      </c>
      <c r="D12852" t="inlineStr">
        <is>
          <t>JÖNKÖPINGS LÄN</t>
        </is>
      </c>
      <c r="E12852" t="inlineStr">
        <is>
          <t>SÄVSJÖ</t>
        </is>
      </c>
      <c r="G12852" t="n">
        <v>4.1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45793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18838-2025</t>
        </is>
      </c>
      <c r="B12854" s="1" t="n">
        <v>45764</v>
      </c>
      <c r="C12854" s="1" t="n">
        <v>45793</v>
      </c>
      <c r="D12854" t="inlineStr">
        <is>
          <t>JÖNKÖPINGS LÄN</t>
        </is>
      </c>
      <c r="E12854" t="inlineStr">
        <is>
          <t>JÖNKÖPING</t>
        </is>
      </c>
      <c r="G12854" t="n">
        <v>0.9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18892-2025</t>
        </is>
      </c>
      <c r="B12855" s="1" t="n">
        <v>45764</v>
      </c>
      <c r="C12855" s="1" t="n">
        <v>45793</v>
      </c>
      <c r="D12855" t="inlineStr">
        <is>
          <t>JÖNKÖPINGS LÄN</t>
        </is>
      </c>
      <c r="E12855" t="inlineStr">
        <is>
          <t>VÄRNAMO</t>
        </is>
      </c>
      <c r="G12855" t="n">
        <v>0.8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18851-2025</t>
        </is>
      </c>
      <c r="B12856" s="1" t="n">
        <v>45764</v>
      </c>
      <c r="C12856" s="1" t="n">
        <v>45793</v>
      </c>
      <c r="D12856" t="inlineStr">
        <is>
          <t>JÖNKÖPINGS LÄN</t>
        </is>
      </c>
      <c r="E12856" t="inlineStr">
        <is>
          <t>JÖNKÖPING</t>
        </is>
      </c>
      <c r="G12856" t="n">
        <v>4.8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18856-2025</t>
        </is>
      </c>
      <c r="B12857" s="1" t="n">
        <v>45764</v>
      </c>
      <c r="C12857" s="1" t="n">
        <v>45793</v>
      </c>
      <c r="D12857" t="inlineStr">
        <is>
          <t>JÖNKÖPINGS LÄN</t>
        </is>
      </c>
      <c r="E12857" t="inlineStr">
        <is>
          <t>JÖNKÖPING</t>
        </is>
      </c>
      <c r="G12857" t="n">
        <v>2.6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18836-2025</t>
        </is>
      </c>
      <c r="B12858" s="1" t="n">
        <v>45764</v>
      </c>
      <c r="C12858" s="1" t="n">
        <v>45793</v>
      </c>
      <c r="D12858" t="inlineStr">
        <is>
          <t>JÖNKÖPINGS LÄN</t>
        </is>
      </c>
      <c r="E12858" t="inlineStr">
        <is>
          <t>JÖNKÖPING</t>
        </is>
      </c>
      <c r="G12858" t="n">
        <v>1.5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18846-2025</t>
        </is>
      </c>
      <c r="B12859" s="1" t="n">
        <v>45764</v>
      </c>
      <c r="C12859" s="1" t="n">
        <v>45793</v>
      </c>
      <c r="D12859" t="inlineStr">
        <is>
          <t>JÖNKÖPINGS LÄN</t>
        </is>
      </c>
      <c r="E12859" t="inlineStr">
        <is>
          <t>JÖNKÖPING</t>
        </is>
      </c>
      <c r="G12859" t="n">
        <v>2.2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18764-2025</t>
        </is>
      </c>
      <c r="B12860" s="1" t="n">
        <v>45764</v>
      </c>
      <c r="C12860" s="1" t="n">
        <v>45793</v>
      </c>
      <c r="D12860" t="inlineStr">
        <is>
          <t>JÖNKÖPINGS LÄN</t>
        </is>
      </c>
      <c r="E12860" t="inlineStr">
        <is>
          <t>VAGGERYD</t>
        </is>
      </c>
      <c r="G12860" t="n">
        <v>3.4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18767-2025</t>
        </is>
      </c>
      <c r="B12861" s="1" t="n">
        <v>45764</v>
      </c>
      <c r="C12861" s="1" t="n">
        <v>45793</v>
      </c>
      <c r="D12861" t="inlineStr">
        <is>
          <t>JÖNKÖPINGS LÄN</t>
        </is>
      </c>
      <c r="E12861" t="inlineStr">
        <is>
          <t>VAGGERYD</t>
        </is>
      </c>
      <c r="G12861" t="n">
        <v>3.4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19018-2025</t>
        </is>
      </c>
      <c r="B12862" s="1" t="n">
        <v>45764</v>
      </c>
      <c r="C12862" s="1" t="n">
        <v>45793</v>
      </c>
      <c r="D12862" t="inlineStr">
        <is>
          <t>JÖNKÖPINGS LÄN</t>
        </is>
      </c>
      <c r="E12862" t="inlineStr">
        <is>
          <t>SÄVSJÖ</t>
        </is>
      </c>
      <c r="G12862" t="n">
        <v>1.1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18858-2025</t>
        </is>
      </c>
      <c r="B12863" s="1" t="n">
        <v>45764</v>
      </c>
      <c r="C12863" s="1" t="n">
        <v>45793</v>
      </c>
      <c r="D12863" t="inlineStr">
        <is>
          <t>JÖNKÖPINGS LÄN</t>
        </is>
      </c>
      <c r="E12863" t="inlineStr">
        <is>
          <t>JÖNKÖPING</t>
        </is>
      </c>
      <c r="G12863" t="n">
        <v>1.3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18774-2025</t>
        </is>
      </c>
      <c r="B12864" s="1" t="n">
        <v>45764</v>
      </c>
      <c r="C12864" s="1" t="n">
        <v>45793</v>
      </c>
      <c r="D12864" t="inlineStr">
        <is>
          <t>JÖNKÖPINGS LÄN</t>
        </is>
      </c>
      <c r="E12864" t="inlineStr">
        <is>
          <t>JÖNKÖPING</t>
        </is>
      </c>
      <c r="G12864" t="n">
        <v>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19135-2025</t>
        </is>
      </c>
      <c r="B12865" s="1" t="n">
        <v>45764</v>
      </c>
      <c r="C12865" s="1" t="n">
        <v>45793</v>
      </c>
      <c r="D12865" t="inlineStr">
        <is>
          <t>JÖNKÖPINGS LÄN</t>
        </is>
      </c>
      <c r="E12865" t="inlineStr">
        <is>
          <t>EKSJÖ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45793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19122-2025</t>
        </is>
      </c>
      <c r="B12867" s="1" t="n">
        <v>45768</v>
      </c>
      <c r="C12867" s="1" t="n">
        <v>45793</v>
      </c>
      <c r="D12867" t="inlineStr">
        <is>
          <t>JÖNKÖPINGS LÄN</t>
        </is>
      </c>
      <c r="E12867" t="inlineStr">
        <is>
          <t>SÄVSJÖ</t>
        </is>
      </c>
      <c r="G12867" t="n">
        <v>2.9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19123-2025</t>
        </is>
      </c>
      <c r="B12868" s="1" t="n">
        <v>45768</v>
      </c>
      <c r="C12868" s="1" t="n">
        <v>45793</v>
      </c>
      <c r="D12868" t="inlineStr">
        <is>
          <t>JÖNKÖPINGS LÄN</t>
        </is>
      </c>
      <c r="E12868" t="inlineStr">
        <is>
          <t>SÄVSJÖ</t>
        </is>
      </c>
      <c r="G12868" t="n">
        <v>0.6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19118-2025</t>
        </is>
      </c>
      <c r="B12869" s="1" t="n">
        <v>45768</v>
      </c>
      <c r="C12869" s="1" t="n">
        <v>45793</v>
      </c>
      <c r="D12869" t="inlineStr">
        <is>
          <t>JÖNKÖPINGS LÄN</t>
        </is>
      </c>
      <c r="E12869" t="inlineStr">
        <is>
          <t>SÄVSJÖ</t>
        </is>
      </c>
      <c r="G12869" t="n">
        <v>1.6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19211-2025</t>
        </is>
      </c>
      <c r="B12870" s="1" t="n">
        <v>45769</v>
      </c>
      <c r="C12870" s="1" t="n">
        <v>45793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19229-2025</t>
        </is>
      </c>
      <c r="B12871" s="1" t="n">
        <v>45769</v>
      </c>
      <c r="C12871" s="1" t="n">
        <v>45793</v>
      </c>
      <c r="D12871" t="inlineStr">
        <is>
          <t>JÖNKÖPINGS LÄN</t>
        </is>
      </c>
      <c r="E12871" t="inlineStr">
        <is>
          <t>VÄRNAMO</t>
        </is>
      </c>
      <c r="G12871" t="n">
        <v>0.7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19335-2025</t>
        </is>
      </c>
      <c r="B12872" s="1" t="n">
        <v>45769</v>
      </c>
      <c r="C12872" s="1" t="n">
        <v>45793</v>
      </c>
      <c r="D12872" t="inlineStr">
        <is>
          <t>JÖNKÖPINGS LÄN</t>
        </is>
      </c>
      <c r="E12872" t="inlineStr">
        <is>
          <t>ANEBY</t>
        </is>
      </c>
      <c r="G12872" t="n">
        <v>7.1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19328-2025</t>
        </is>
      </c>
      <c r="B12873" s="1" t="n">
        <v>45769</v>
      </c>
      <c r="C12873" s="1" t="n">
        <v>45793</v>
      </c>
      <c r="D12873" t="inlineStr">
        <is>
          <t>JÖNKÖPINGS LÄN</t>
        </is>
      </c>
      <c r="E12873" t="inlineStr">
        <is>
          <t>TRANÅS</t>
        </is>
      </c>
      <c r="G12873" t="n">
        <v>1.7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19348-2025</t>
        </is>
      </c>
      <c r="B12874" s="1" t="n">
        <v>45769</v>
      </c>
      <c r="C12874" s="1" t="n">
        <v>45793</v>
      </c>
      <c r="D12874" t="inlineStr">
        <is>
          <t>JÖNKÖPINGS LÄN</t>
        </is>
      </c>
      <c r="E12874" t="inlineStr">
        <is>
          <t>JÖNKÖPING</t>
        </is>
      </c>
      <c r="G12874" t="n">
        <v>0.4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19347-2025</t>
        </is>
      </c>
      <c r="B12875" s="1" t="n">
        <v>45769</v>
      </c>
      <c r="C12875" s="1" t="n">
        <v>45793</v>
      </c>
      <c r="D12875" t="inlineStr">
        <is>
          <t>JÖNKÖPINGS LÄN</t>
        </is>
      </c>
      <c r="E12875" t="inlineStr">
        <is>
          <t>JÖNKÖPING</t>
        </is>
      </c>
      <c r="G12875" t="n">
        <v>0.7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19431-2025</t>
        </is>
      </c>
      <c r="B12876" s="1" t="n">
        <v>45769</v>
      </c>
      <c r="C12876" s="1" t="n">
        <v>45793</v>
      </c>
      <c r="D12876" t="inlineStr">
        <is>
          <t>JÖNKÖPINGS LÄN</t>
        </is>
      </c>
      <c r="E12876" t="inlineStr">
        <is>
          <t>VETLANDA</t>
        </is>
      </c>
      <c r="F12876" t="inlineStr">
        <is>
          <t>Sveaskog</t>
        </is>
      </c>
      <c r="G12876" t="n">
        <v>1.1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19362-2025</t>
        </is>
      </c>
      <c r="B12877" s="1" t="n">
        <v>45769</v>
      </c>
      <c r="C12877" s="1" t="n">
        <v>45793</v>
      </c>
      <c r="D12877" t="inlineStr">
        <is>
          <t>JÖNKÖPINGS LÄN</t>
        </is>
      </c>
      <c r="E12877" t="inlineStr">
        <is>
          <t>ANEBY</t>
        </is>
      </c>
      <c r="G12877" t="n">
        <v>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19418-2025</t>
        </is>
      </c>
      <c r="B12878" s="1" t="n">
        <v>45769</v>
      </c>
      <c r="C12878" s="1" t="n">
        <v>45793</v>
      </c>
      <c r="D12878" t="inlineStr">
        <is>
          <t>JÖNKÖPINGS LÄN</t>
        </is>
      </c>
      <c r="E12878" t="inlineStr">
        <is>
          <t>TRANÅS</t>
        </is>
      </c>
      <c r="F12878" t="inlineStr">
        <is>
          <t>Allmännings- och besparingsskogar</t>
        </is>
      </c>
      <c r="G12878" t="n">
        <v>5.9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19323-2025</t>
        </is>
      </c>
      <c r="B12879" s="1" t="n">
        <v>45769</v>
      </c>
      <c r="C12879" s="1" t="n">
        <v>45793</v>
      </c>
      <c r="D12879" t="inlineStr">
        <is>
          <t>JÖNKÖPINGS LÄN</t>
        </is>
      </c>
      <c r="E12879" t="inlineStr">
        <is>
          <t>TRANÅS</t>
        </is>
      </c>
      <c r="G12879" t="n">
        <v>1.9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19250-2025</t>
        </is>
      </c>
      <c r="B12880" s="1" t="n">
        <v>45769</v>
      </c>
      <c r="C12880" s="1" t="n">
        <v>45793</v>
      </c>
      <c r="D12880" t="inlineStr">
        <is>
          <t>JÖNKÖPINGS LÄN</t>
        </is>
      </c>
      <c r="E12880" t="inlineStr">
        <is>
          <t>VÄRNAMO</t>
        </is>
      </c>
      <c r="G12880" t="n">
        <v>0.9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19332-2025</t>
        </is>
      </c>
      <c r="B12881" s="1" t="n">
        <v>45769</v>
      </c>
      <c r="C12881" s="1" t="n">
        <v>45793</v>
      </c>
      <c r="D12881" t="inlineStr">
        <is>
          <t>JÖNKÖPINGS LÄN</t>
        </is>
      </c>
      <c r="E12881" t="inlineStr">
        <is>
          <t>TRANÅS</t>
        </is>
      </c>
      <c r="G12881" t="n">
        <v>1.3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19491-2025</t>
        </is>
      </c>
      <c r="B12882" s="1" t="n">
        <v>45770</v>
      </c>
      <c r="C12882" s="1" t="n">
        <v>45793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19511-2025</t>
        </is>
      </c>
      <c r="B12883" s="1" t="n">
        <v>45770</v>
      </c>
      <c r="C12883" s="1" t="n">
        <v>45793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3.1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19557-2025</t>
        </is>
      </c>
      <c r="B12884" s="1" t="n">
        <v>45770</v>
      </c>
      <c r="C12884" s="1" t="n">
        <v>45793</v>
      </c>
      <c r="D12884" t="inlineStr">
        <is>
          <t>JÖNKÖPINGS LÄN</t>
        </is>
      </c>
      <c r="E12884" t="inlineStr">
        <is>
          <t>VETLANDA</t>
        </is>
      </c>
      <c r="G12884" t="n">
        <v>2.4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19500-2025</t>
        </is>
      </c>
      <c r="B12885" s="1" t="n">
        <v>45770</v>
      </c>
      <c r="C12885" s="1" t="n">
        <v>45793</v>
      </c>
      <c r="D12885" t="inlineStr">
        <is>
          <t>JÖNKÖPINGS LÄN</t>
        </is>
      </c>
      <c r="E12885" t="inlineStr">
        <is>
          <t>VÄRNAMO</t>
        </is>
      </c>
      <c r="G12885" t="n">
        <v>1.6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19579-2025</t>
        </is>
      </c>
      <c r="B12886" s="1" t="n">
        <v>45770</v>
      </c>
      <c r="C12886" s="1" t="n">
        <v>45793</v>
      </c>
      <c r="D12886" t="inlineStr">
        <is>
          <t>JÖNKÖPINGS LÄN</t>
        </is>
      </c>
      <c r="E12886" t="inlineStr">
        <is>
          <t>GISLAVED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19552-2025</t>
        </is>
      </c>
      <c r="B12887" s="1" t="n">
        <v>45770</v>
      </c>
      <c r="C12887" s="1" t="n">
        <v>45793</v>
      </c>
      <c r="D12887" t="inlineStr">
        <is>
          <t>JÖNKÖPINGS LÄN</t>
        </is>
      </c>
      <c r="E12887" t="inlineStr">
        <is>
          <t>VETLANDA</t>
        </is>
      </c>
      <c r="G12887" t="n">
        <v>2.9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19439-2025</t>
        </is>
      </c>
      <c r="B12888" s="1" t="n">
        <v>45770</v>
      </c>
      <c r="C12888" s="1" t="n">
        <v>45793</v>
      </c>
      <c r="D12888" t="inlineStr">
        <is>
          <t>JÖNKÖPINGS LÄN</t>
        </is>
      </c>
      <c r="E12888" t="inlineStr">
        <is>
          <t>GNOSJÖ</t>
        </is>
      </c>
      <c r="G12888" t="n">
        <v>1.7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19580-2025</t>
        </is>
      </c>
      <c r="B12889" s="1" t="n">
        <v>45770</v>
      </c>
      <c r="C12889" s="1" t="n">
        <v>45793</v>
      </c>
      <c r="D12889" t="inlineStr">
        <is>
          <t>JÖNKÖPINGS LÄN</t>
        </is>
      </c>
      <c r="E12889" t="inlineStr">
        <is>
          <t>GISLAVED</t>
        </is>
      </c>
      <c r="G12889" t="n">
        <v>5.8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19507-2025</t>
        </is>
      </c>
      <c r="B12890" s="1" t="n">
        <v>45770</v>
      </c>
      <c r="C12890" s="1" t="n">
        <v>45793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3.3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45793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45793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19548-2025</t>
        </is>
      </c>
      <c r="B12893" s="1" t="n">
        <v>45770</v>
      </c>
      <c r="C12893" s="1" t="n">
        <v>45793</v>
      </c>
      <c r="D12893" t="inlineStr">
        <is>
          <t>JÖNKÖPINGS LÄN</t>
        </is>
      </c>
      <c r="E12893" t="inlineStr">
        <is>
          <t>VETLANDA</t>
        </is>
      </c>
      <c r="G12893" t="n">
        <v>5.4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19695-2025</t>
        </is>
      </c>
      <c r="B12894" s="1" t="n">
        <v>45770</v>
      </c>
      <c r="C12894" s="1" t="n">
        <v>45793</v>
      </c>
      <c r="D12894" t="inlineStr">
        <is>
          <t>JÖNKÖPINGS LÄN</t>
        </is>
      </c>
      <c r="E12894" t="inlineStr">
        <is>
          <t>TRANÅS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45793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19560-2025</t>
        </is>
      </c>
      <c r="B12896" s="1" t="n">
        <v>45770</v>
      </c>
      <c r="C12896" s="1" t="n">
        <v>45793</v>
      </c>
      <c r="D12896" t="inlineStr">
        <is>
          <t>JÖNKÖPINGS LÄN</t>
        </is>
      </c>
      <c r="E12896" t="inlineStr">
        <is>
          <t>JÖNKÖPING</t>
        </is>
      </c>
      <c r="G12896" t="n">
        <v>4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19470-2025</t>
        </is>
      </c>
      <c r="B12897" s="1" t="n">
        <v>45770</v>
      </c>
      <c r="C12897" s="1" t="n">
        <v>45793</v>
      </c>
      <c r="D12897" t="inlineStr">
        <is>
          <t>JÖNKÖPINGS LÄN</t>
        </is>
      </c>
      <c r="E12897" t="inlineStr">
        <is>
          <t>VETLANDA</t>
        </is>
      </c>
      <c r="G12897" t="n">
        <v>4.9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19672-2025</t>
        </is>
      </c>
      <c r="B12898" s="1" t="n">
        <v>45770</v>
      </c>
      <c r="C12898" s="1" t="n">
        <v>45793</v>
      </c>
      <c r="D12898" t="inlineStr">
        <is>
          <t>JÖNKÖPINGS LÄN</t>
        </is>
      </c>
      <c r="E12898" t="inlineStr">
        <is>
          <t>VAGGERYD</t>
        </is>
      </c>
      <c r="G12898" t="n">
        <v>1.8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19469-2025</t>
        </is>
      </c>
      <c r="B12899" s="1" t="n">
        <v>45770</v>
      </c>
      <c r="C12899" s="1" t="n">
        <v>45793</v>
      </c>
      <c r="D12899" t="inlineStr">
        <is>
          <t>JÖNKÖPINGS LÄN</t>
        </is>
      </c>
      <c r="E12899" t="inlineStr">
        <is>
          <t>EKSJÖ</t>
        </is>
      </c>
      <c r="F12899" t="inlineStr">
        <is>
          <t>Sveaskog</t>
        </is>
      </c>
      <c r="G12899" t="n">
        <v>1.9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45793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19834-2025</t>
        </is>
      </c>
      <c r="B12901" s="1" t="n">
        <v>45771</v>
      </c>
      <c r="C12901" s="1" t="n">
        <v>45793</v>
      </c>
      <c r="D12901" t="inlineStr">
        <is>
          <t>JÖNKÖPINGS LÄN</t>
        </is>
      </c>
      <c r="E12901" t="inlineStr">
        <is>
          <t>GISLAVED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19702-2025</t>
        </is>
      </c>
      <c r="B12902" s="1" t="n">
        <v>45771</v>
      </c>
      <c r="C12902" s="1" t="n">
        <v>45793</v>
      </c>
      <c r="D12902" t="inlineStr">
        <is>
          <t>JÖNKÖPINGS LÄN</t>
        </is>
      </c>
      <c r="E12902" t="inlineStr">
        <is>
          <t>SÄVSJÖ</t>
        </is>
      </c>
      <c r="G12902" t="n">
        <v>2.5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19759-2025</t>
        </is>
      </c>
      <c r="B12903" s="1" t="n">
        <v>45771</v>
      </c>
      <c r="C12903" s="1" t="n">
        <v>45793</v>
      </c>
      <c r="D12903" t="inlineStr">
        <is>
          <t>JÖNKÖPINGS LÄN</t>
        </is>
      </c>
      <c r="E12903" t="inlineStr">
        <is>
          <t>SÄVSJÖ</t>
        </is>
      </c>
      <c r="G12903" t="n">
        <v>0.9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19769-2025</t>
        </is>
      </c>
      <c r="B12904" s="1" t="n">
        <v>45771</v>
      </c>
      <c r="C12904" s="1" t="n">
        <v>45793</v>
      </c>
      <c r="D12904" t="inlineStr">
        <is>
          <t>JÖNKÖPINGS LÄN</t>
        </is>
      </c>
      <c r="E12904" t="inlineStr">
        <is>
          <t>SÄVSJÖ</t>
        </is>
      </c>
      <c r="G12904" t="n">
        <v>2.8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19845-2025</t>
        </is>
      </c>
      <c r="B12905" s="1" t="n">
        <v>45771</v>
      </c>
      <c r="C12905" s="1" t="n">
        <v>45793</v>
      </c>
      <c r="D12905" t="inlineStr">
        <is>
          <t>JÖNKÖPINGS LÄN</t>
        </is>
      </c>
      <c r="E12905" t="inlineStr">
        <is>
          <t>VETLANDA</t>
        </is>
      </c>
      <c r="F12905" t="inlineStr">
        <is>
          <t>Sveaskog</t>
        </is>
      </c>
      <c r="G12905" t="n">
        <v>2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19943-2025</t>
        </is>
      </c>
      <c r="B12906" s="1" t="n">
        <v>45771</v>
      </c>
      <c r="C12906" s="1" t="n">
        <v>45793</v>
      </c>
      <c r="D12906" t="inlineStr">
        <is>
          <t>JÖNKÖPINGS LÄN</t>
        </is>
      </c>
      <c r="E12906" t="inlineStr">
        <is>
          <t>ANEBY</t>
        </is>
      </c>
      <c r="G12906" t="n">
        <v>2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19802-2025</t>
        </is>
      </c>
      <c r="B12907" s="1" t="n">
        <v>45771</v>
      </c>
      <c r="C12907" s="1" t="n">
        <v>45793</v>
      </c>
      <c r="D12907" t="inlineStr">
        <is>
          <t>JÖNKÖPINGS LÄN</t>
        </is>
      </c>
      <c r="E12907" t="inlineStr">
        <is>
          <t>VETLANDA</t>
        </is>
      </c>
      <c r="G12907" t="n">
        <v>1.8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45793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45793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45793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45793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19861-2025</t>
        </is>
      </c>
      <c r="B12912" s="1" t="n">
        <v>45771</v>
      </c>
      <c r="C12912" s="1" t="n">
        <v>45793</v>
      </c>
      <c r="D12912" t="inlineStr">
        <is>
          <t>JÖNKÖPINGS LÄN</t>
        </is>
      </c>
      <c r="E12912" t="inlineStr">
        <is>
          <t>EKSJÖ</t>
        </is>
      </c>
      <c r="F12912" t="inlineStr">
        <is>
          <t>Kyrkan</t>
        </is>
      </c>
      <c r="G12912" t="n">
        <v>4.8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19856-2025</t>
        </is>
      </c>
      <c r="B12913" s="1" t="n">
        <v>45771</v>
      </c>
      <c r="C12913" s="1" t="n">
        <v>45793</v>
      </c>
      <c r="D12913" t="inlineStr">
        <is>
          <t>JÖNKÖPINGS LÄN</t>
        </is>
      </c>
      <c r="E12913" t="inlineStr">
        <is>
          <t>EKSJÖ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19804-2025</t>
        </is>
      </c>
      <c r="B12914" s="1" t="n">
        <v>45771</v>
      </c>
      <c r="C12914" s="1" t="n">
        <v>45793</v>
      </c>
      <c r="D12914" t="inlineStr">
        <is>
          <t>JÖNKÖPINGS LÄN</t>
        </is>
      </c>
      <c r="E12914" t="inlineStr">
        <is>
          <t>VETLANDA</t>
        </is>
      </c>
      <c r="G12914" t="n">
        <v>1.1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20004-2025</t>
        </is>
      </c>
      <c r="B12915" s="1" t="n">
        <v>45771</v>
      </c>
      <c r="C12915" s="1" t="n">
        <v>45793</v>
      </c>
      <c r="D12915" t="inlineStr">
        <is>
          <t>JÖNKÖPINGS LÄN</t>
        </is>
      </c>
      <c r="E12915" t="inlineStr">
        <is>
          <t>SÄVSJÖ</t>
        </is>
      </c>
      <c r="G12915" t="n">
        <v>7.1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20095-2025</t>
        </is>
      </c>
      <c r="B12916" s="1" t="n">
        <v>45772</v>
      </c>
      <c r="C12916" s="1" t="n">
        <v>45793</v>
      </c>
      <c r="D12916" t="inlineStr">
        <is>
          <t>JÖNKÖPINGS LÄN</t>
        </is>
      </c>
      <c r="E12916" t="inlineStr">
        <is>
          <t>VAGGERYD</t>
        </is>
      </c>
      <c r="G12916" t="n">
        <v>6.1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20015-2025</t>
        </is>
      </c>
      <c r="B12917" s="1" t="n">
        <v>45772</v>
      </c>
      <c r="C12917" s="1" t="n">
        <v>45793</v>
      </c>
      <c r="D12917" t="inlineStr">
        <is>
          <t>JÖNKÖPINGS LÄN</t>
        </is>
      </c>
      <c r="E12917" t="inlineStr">
        <is>
          <t>SÄVSJÖ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20197-2025</t>
        </is>
      </c>
      <c r="B12918" s="1" t="n">
        <v>45772</v>
      </c>
      <c r="C12918" s="1" t="n">
        <v>45793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20199-2025</t>
        </is>
      </c>
      <c r="B12919" s="1" t="n">
        <v>45772</v>
      </c>
      <c r="C12919" s="1" t="n">
        <v>45793</v>
      </c>
      <c r="D12919" t="inlineStr">
        <is>
          <t>JÖNKÖPINGS LÄN</t>
        </is>
      </c>
      <c r="E12919" t="inlineStr">
        <is>
          <t>TRANÅS</t>
        </is>
      </c>
      <c r="F12919" t="inlineStr">
        <is>
          <t>Allmännings- och besparingsskogar</t>
        </is>
      </c>
      <c r="G12919" t="n">
        <v>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20251-2025</t>
        </is>
      </c>
      <c r="B12920" s="1" t="n">
        <v>45772</v>
      </c>
      <c r="C12920" s="1" t="n">
        <v>45793</v>
      </c>
      <c r="D12920" t="inlineStr">
        <is>
          <t>JÖNKÖPINGS LÄN</t>
        </is>
      </c>
      <c r="E12920" t="inlineStr">
        <is>
          <t>VAGGERYD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20252-2025</t>
        </is>
      </c>
      <c r="B12921" s="1" t="n">
        <v>45772</v>
      </c>
      <c r="C12921" s="1" t="n">
        <v>45793</v>
      </c>
      <c r="D12921" t="inlineStr">
        <is>
          <t>JÖNKÖPINGS LÄN</t>
        </is>
      </c>
      <c r="E12921" t="inlineStr">
        <is>
          <t>VAGGERYD</t>
        </is>
      </c>
      <c r="G12921" t="n">
        <v>0.4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20249-2025</t>
        </is>
      </c>
      <c r="B12922" s="1" t="n">
        <v>45772</v>
      </c>
      <c r="C12922" s="1" t="n">
        <v>45793</v>
      </c>
      <c r="D12922" t="inlineStr">
        <is>
          <t>JÖNKÖPINGS LÄN</t>
        </is>
      </c>
      <c r="E12922" t="inlineStr">
        <is>
          <t>GISLAVED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20254-2025</t>
        </is>
      </c>
      <c r="B12923" s="1" t="n">
        <v>45772</v>
      </c>
      <c r="C12923" s="1" t="n">
        <v>45793</v>
      </c>
      <c r="D12923" t="inlineStr">
        <is>
          <t>JÖNKÖPINGS LÄN</t>
        </is>
      </c>
      <c r="E12923" t="inlineStr">
        <is>
          <t>VÄRNAMO</t>
        </is>
      </c>
      <c r="G12923" t="n">
        <v>0.6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20178-2025</t>
        </is>
      </c>
      <c r="B12924" s="1" t="n">
        <v>45772</v>
      </c>
      <c r="C12924" s="1" t="n">
        <v>45793</v>
      </c>
      <c r="D12924" t="inlineStr">
        <is>
          <t>JÖNKÖPINGS LÄN</t>
        </is>
      </c>
      <c r="E12924" t="inlineStr">
        <is>
          <t>GISLAVED</t>
        </is>
      </c>
      <c r="F12924" t="inlineStr">
        <is>
          <t>Kyrkan</t>
        </is>
      </c>
      <c r="G12924" t="n">
        <v>5.4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20186-2025</t>
        </is>
      </c>
      <c r="B12925" s="1" t="n">
        <v>45772</v>
      </c>
      <c r="C12925" s="1" t="n">
        <v>45793</v>
      </c>
      <c r="D12925" t="inlineStr">
        <is>
          <t>JÖNKÖPINGS LÄN</t>
        </is>
      </c>
      <c r="E12925" t="inlineStr">
        <is>
          <t>GISLAVED</t>
        </is>
      </c>
      <c r="F12925" t="inlineStr">
        <is>
          <t>Kyrkan</t>
        </is>
      </c>
      <c r="G12925" t="n">
        <v>2.4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20219-2025</t>
        </is>
      </c>
      <c r="B12926" s="1" t="n">
        <v>45772</v>
      </c>
      <c r="C12926" s="1" t="n">
        <v>45793</v>
      </c>
      <c r="D12926" t="inlineStr">
        <is>
          <t>JÖNKÖPINGS LÄN</t>
        </is>
      </c>
      <c r="E12926" t="inlineStr">
        <is>
          <t>ANEBY</t>
        </is>
      </c>
      <c r="G12926" t="n">
        <v>0.5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20088-2025</t>
        </is>
      </c>
      <c r="B12927" s="1" t="n">
        <v>45772</v>
      </c>
      <c r="C12927" s="1" t="n">
        <v>45793</v>
      </c>
      <c r="D12927" t="inlineStr">
        <is>
          <t>JÖNKÖPINGS LÄN</t>
        </is>
      </c>
      <c r="E12927" t="inlineStr">
        <is>
          <t>JÖNKÖPING</t>
        </is>
      </c>
      <c r="G12927" t="n">
        <v>4.7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20226-2025</t>
        </is>
      </c>
      <c r="B12928" s="1" t="n">
        <v>45772</v>
      </c>
      <c r="C12928" s="1" t="n">
        <v>45793</v>
      </c>
      <c r="D12928" t="inlineStr">
        <is>
          <t>JÖNKÖPINGS LÄN</t>
        </is>
      </c>
      <c r="E12928" t="inlineStr">
        <is>
          <t>VAGGERYD</t>
        </is>
      </c>
      <c r="G12928" t="n">
        <v>4.5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20250-2025</t>
        </is>
      </c>
      <c r="B12929" s="1" t="n">
        <v>45772</v>
      </c>
      <c r="C12929" s="1" t="n">
        <v>45793</v>
      </c>
      <c r="D12929" t="inlineStr">
        <is>
          <t>JÖNKÖPINGS LÄN</t>
        </is>
      </c>
      <c r="E12929" t="inlineStr">
        <is>
          <t>GISLAVED</t>
        </is>
      </c>
      <c r="G12929" t="n">
        <v>0.9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20277-2025</t>
        </is>
      </c>
      <c r="B12930" s="1" t="n">
        <v>45774</v>
      </c>
      <c r="C12930" s="1" t="n">
        <v>45793</v>
      </c>
      <c r="D12930" t="inlineStr">
        <is>
          <t>JÖNKÖPINGS LÄN</t>
        </is>
      </c>
      <c r="E12930" t="inlineStr">
        <is>
          <t>TRANÅS</t>
        </is>
      </c>
      <c r="G12930" t="n">
        <v>1.4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45793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20568-2025</t>
        </is>
      </c>
      <c r="B12932" s="1" t="n">
        <v>45775</v>
      </c>
      <c r="C12932" s="1" t="n">
        <v>45793</v>
      </c>
      <c r="D12932" t="inlineStr">
        <is>
          <t>JÖNKÖPINGS LÄN</t>
        </is>
      </c>
      <c r="E12932" t="inlineStr">
        <is>
          <t>ANEBY</t>
        </is>
      </c>
      <c r="F12932" t="inlineStr">
        <is>
          <t>Kyrkan</t>
        </is>
      </c>
      <c r="G12932" t="n">
        <v>7.6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20414-2025</t>
        </is>
      </c>
      <c r="B12933" s="1" t="n">
        <v>45775</v>
      </c>
      <c r="C12933" s="1" t="n">
        <v>45793</v>
      </c>
      <c r="D12933" t="inlineStr">
        <is>
          <t>JÖNKÖPINGS LÄN</t>
        </is>
      </c>
      <c r="E12933" t="inlineStr">
        <is>
          <t>TRANÅS</t>
        </is>
      </c>
      <c r="G12933" t="n">
        <v>1.1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20374-2025</t>
        </is>
      </c>
      <c r="B12934" s="1" t="n">
        <v>45775</v>
      </c>
      <c r="C12934" s="1" t="n">
        <v>45793</v>
      </c>
      <c r="D12934" t="inlineStr">
        <is>
          <t>JÖNKÖPINGS LÄN</t>
        </is>
      </c>
      <c r="E12934" t="inlineStr">
        <is>
          <t>JÖNKÖPING</t>
        </is>
      </c>
      <c r="G12934" t="n">
        <v>2.2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20451-2025</t>
        </is>
      </c>
      <c r="B12935" s="1" t="n">
        <v>45775</v>
      </c>
      <c r="C12935" s="1" t="n">
        <v>45793</v>
      </c>
      <c r="D12935" t="inlineStr">
        <is>
          <t>JÖNKÖPINGS LÄN</t>
        </is>
      </c>
      <c r="E12935" t="inlineStr">
        <is>
          <t>VÄRNAMO</t>
        </is>
      </c>
      <c r="G12935" t="n">
        <v>4.2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20314-2025</t>
        </is>
      </c>
      <c r="B12936" s="1" t="n">
        <v>45775</v>
      </c>
      <c r="C12936" s="1" t="n">
        <v>45793</v>
      </c>
      <c r="D12936" t="inlineStr">
        <is>
          <t>JÖNKÖPINGS LÄN</t>
        </is>
      </c>
      <c r="E12936" t="inlineStr">
        <is>
          <t>JÖNKÖPING</t>
        </is>
      </c>
      <c r="G12936" t="n">
        <v>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20315-2025</t>
        </is>
      </c>
      <c r="B12937" s="1" t="n">
        <v>45775</v>
      </c>
      <c r="C12937" s="1" t="n">
        <v>45793</v>
      </c>
      <c r="D12937" t="inlineStr">
        <is>
          <t>JÖNKÖPINGS LÄN</t>
        </is>
      </c>
      <c r="E12937" t="inlineStr">
        <is>
          <t>JÖNKÖPING</t>
        </is>
      </c>
      <c r="G12937" t="n">
        <v>1.6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20420-2025</t>
        </is>
      </c>
      <c r="B12938" s="1" t="n">
        <v>45775</v>
      </c>
      <c r="C12938" s="1" t="n">
        <v>45793</v>
      </c>
      <c r="D12938" t="inlineStr">
        <is>
          <t>JÖNKÖPINGS LÄN</t>
        </is>
      </c>
      <c r="E12938" t="inlineStr">
        <is>
          <t>VETLANDA</t>
        </is>
      </c>
      <c r="G12938" t="n">
        <v>3.2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20569-2025</t>
        </is>
      </c>
      <c r="B12939" s="1" t="n">
        <v>45775</v>
      </c>
      <c r="C12939" s="1" t="n">
        <v>45793</v>
      </c>
      <c r="D12939" t="inlineStr">
        <is>
          <t>JÖNKÖPINGS LÄN</t>
        </is>
      </c>
      <c r="E12939" t="inlineStr">
        <is>
          <t>ANEBY</t>
        </is>
      </c>
      <c r="F12939" t="inlineStr">
        <is>
          <t>Kyrkan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20423-2025</t>
        </is>
      </c>
      <c r="B12940" s="1" t="n">
        <v>45775</v>
      </c>
      <c r="C12940" s="1" t="n">
        <v>45793</v>
      </c>
      <c r="D12940" t="inlineStr">
        <is>
          <t>JÖNKÖPINGS LÄN</t>
        </is>
      </c>
      <c r="E12940" t="inlineStr">
        <is>
          <t>GISLAVED</t>
        </is>
      </c>
      <c r="G12940" t="n">
        <v>6.8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20376-2025</t>
        </is>
      </c>
      <c r="B12941" s="1" t="n">
        <v>45775</v>
      </c>
      <c r="C12941" s="1" t="n">
        <v>45793</v>
      </c>
      <c r="D12941" t="inlineStr">
        <is>
          <t>JÖNKÖPINGS LÄN</t>
        </is>
      </c>
      <c r="E12941" t="inlineStr">
        <is>
          <t>JÖNKÖPING</t>
        </is>
      </c>
      <c r="G12941" t="n">
        <v>2.6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20579-2025</t>
        </is>
      </c>
      <c r="B12942" s="1" t="n">
        <v>45775</v>
      </c>
      <c r="C12942" s="1" t="n">
        <v>45793</v>
      </c>
      <c r="D12942" t="inlineStr">
        <is>
          <t>JÖNKÖPINGS LÄN</t>
        </is>
      </c>
      <c r="E12942" t="inlineStr">
        <is>
          <t>SÄVSJÖ</t>
        </is>
      </c>
      <c r="G12942" t="n">
        <v>0.9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20576-2025</t>
        </is>
      </c>
      <c r="B12943" s="1" t="n">
        <v>45775</v>
      </c>
      <c r="C12943" s="1" t="n">
        <v>45793</v>
      </c>
      <c r="D12943" t="inlineStr">
        <is>
          <t>JÖNKÖPINGS LÄN</t>
        </is>
      </c>
      <c r="E12943" t="inlineStr">
        <is>
          <t>SÄVSJÖ</t>
        </is>
      </c>
      <c r="G12943" t="n">
        <v>0.5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20580-2025</t>
        </is>
      </c>
      <c r="B12944" s="1" t="n">
        <v>45775</v>
      </c>
      <c r="C12944" s="1" t="n">
        <v>45793</v>
      </c>
      <c r="D12944" t="inlineStr">
        <is>
          <t>JÖNKÖPINGS LÄN</t>
        </is>
      </c>
      <c r="E12944" t="inlineStr">
        <is>
          <t>SÄVSJÖ</t>
        </is>
      </c>
      <c r="G12944" t="n">
        <v>1.7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20542-2025</t>
        </is>
      </c>
      <c r="B12945" s="1" t="n">
        <v>45775</v>
      </c>
      <c r="C12945" s="1" t="n">
        <v>45793</v>
      </c>
      <c r="D12945" t="inlineStr">
        <is>
          <t>JÖNKÖPINGS LÄN</t>
        </is>
      </c>
      <c r="E12945" t="inlineStr">
        <is>
          <t>VETLANDA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20841-2025</t>
        </is>
      </c>
      <c r="B12946" s="1" t="n">
        <v>45776</v>
      </c>
      <c r="C12946" s="1" t="n">
        <v>45793</v>
      </c>
      <c r="D12946" t="inlineStr">
        <is>
          <t>JÖNKÖPINGS LÄN</t>
        </is>
      </c>
      <c r="E12946" t="inlineStr">
        <is>
          <t>NÄSSJÖ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20733-2025</t>
        </is>
      </c>
      <c r="B12947" s="1" t="n">
        <v>45776</v>
      </c>
      <c r="C12947" s="1" t="n">
        <v>45793</v>
      </c>
      <c r="D12947" t="inlineStr">
        <is>
          <t>JÖNKÖPINGS LÄN</t>
        </is>
      </c>
      <c r="E12947" t="inlineStr">
        <is>
          <t>NÄSSJÖ</t>
        </is>
      </c>
      <c r="G12947" t="n">
        <v>5.2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20739-2025</t>
        </is>
      </c>
      <c r="B12948" s="1" t="n">
        <v>45776</v>
      </c>
      <c r="C12948" s="1" t="n">
        <v>45793</v>
      </c>
      <c r="D12948" t="inlineStr">
        <is>
          <t>JÖNKÖPINGS LÄN</t>
        </is>
      </c>
      <c r="E12948" t="inlineStr">
        <is>
          <t>NÄSSJÖ</t>
        </is>
      </c>
      <c r="G12948" t="n">
        <v>1.5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20810-2025</t>
        </is>
      </c>
      <c r="B12949" s="1" t="n">
        <v>45776</v>
      </c>
      <c r="C12949" s="1" t="n">
        <v>45793</v>
      </c>
      <c r="D12949" t="inlineStr">
        <is>
          <t>JÖNKÖPINGS LÄN</t>
        </is>
      </c>
      <c r="E12949" t="inlineStr">
        <is>
          <t>TRANÅS</t>
        </is>
      </c>
      <c r="F12949" t="inlineStr">
        <is>
          <t>Allmännings- och besparingsskogar</t>
        </is>
      </c>
      <c r="G12949" t="n">
        <v>13.8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20839-2025</t>
        </is>
      </c>
      <c r="B12950" s="1" t="n">
        <v>45776</v>
      </c>
      <c r="C12950" s="1" t="n">
        <v>45793</v>
      </c>
      <c r="D12950" t="inlineStr">
        <is>
          <t>JÖNKÖPINGS LÄN</t>
        </is>
      </c>
      <c r="E12950" t="inlineStr">
        <is>
          <t>NÄSSJÖ</t>
        </is>
      </c>
      <c r="G12950" t="n">
        <v>5.3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20625-2025</t>
        </is>
      </c>
      <c r="B12951" s="1" t="n">
        <v>45776</v>
      </c>
      <c r="C12951" s="1" t="n">
        <v>45793</v>
      </c>
      <c r="D12951" t="inlineStr">
        <is>
          <t>JÖNKÖPINGS LÄN</t>
        </is>
      </c>
      <c r="E12951" t="inlineStr">
        <is>
          <t>TRANÅS</t>
        </is>
      </c>
      <c r="G12951" t="n">
        <v>3.3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20737-2025</t>
        </is>
      </c>
      <c r="B12952" s="1" t="n">
        <v>45776</v>
      </c>
      <c r="C12952" s="1" t="n">
        <v>45793</v>
      </c>
      <c r="D12952" t="inlineStr">
        <is>
          <t>JÖNKÖPINGS LÄN</t>
        </is>
      </c>
      <c r="E12952" t="inlineStr">
        <is>
          <t>NÄSSJÖ</t>
        </is>
      </c>
      <c r="G12952" t="n">
        <v>2.1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45793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45793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45793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20960-2025</t>
        </is>
      </c>
      <c r="B12956" s="1" t="n">
        <v>45777</v>
      </c>
      <c r="C12956" s="1" t="n">
        <v>45793</v>
      </c>
      <c r="D12956" t="inlineStr">
        <is>
          <t>JÖNKÖPINGS LÄN</t>
        </is>
      </c>
      <c r="E12956" t="inlineStr">
        <is>
          <t>EKSJÖ</t>
        </is>
      </c>
      <c r="F12956" t="inlineStr">
        <is>
          <t>Kommuner</t>
        </is>
      </c>
      <c r="G12956" t="n">
        <v>1.6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21016-2025</t>
        </is>
      </c>
      <c r="B12957" s="1" t="n">
        <v>45777</v>
      </c>
      <c r="C12957" s="1" t="n">
        <v>45793</v>
      </c>
      <c r="D12957" t="inlineStr">
        <is>
          <t>JÖNKÖPINGS LÄN</t>
        </is>
      </c>
      <c r="E12957" t="inlineStr">
        <is>
          <t>JÖNKÖPING</t>
        </is>
      </c>
      <c r="G12957" t="n">
        <v>2.1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21023-2025</t>
        </is>
      </c>
      <c r="B12958" s="1" t="n">
        <v>45777</v>
      </c>
      <c r="C12958" s="1" t="n">
        <v>45793</v>
      </c>
      <c r="D12958" t="inlineStr">
        <is>
          <t>JÖNKÖPINGS LÄN</t>
        </is>
      </c>
      <c r="E12958" t="inlineStr">
        <is>
          <t>GISLAVED</t>
        </is>
      </c>
      <c r="G12958" t="n">
        <v>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20885-2025</t>
        </is>
      </c>
      <c r="B12959" s="1" t="n">
        <v>45777</v>
      </c>
      <c r="C12959" s="1" t="n">
        <v>45793</v>
      </c>
      <c r="D12959" t="inlineStr">
        <is>
          <t>JÖNKÖPINGS LÄN</t>
        </is>
      </c>
      <c r="E12959" t="inlineStr">
        <is>
          <t>GISLAVED</t>
        </is>
      </c>
      <c r="G12959" t="n">
        <v>0.7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21083-2025</t>
        </is>
      </c>
      <c r="B12960" s="1" t="n">
        <v>45777</v>
      </c>
      <c r="C12960" s="1" t="n">
        <v>45793</v>
      </c>
      <c r="D12960" t="inlineStr">
        <is>
          <t>JÖNKÖPINGS LÄN</t>
        </is>
      </c>
      <c r="E12960" t="inlineStr">
        <is>
          <t>JÖNKÖPING</t>
        </is>
      </c>
      <c r="G12960" t="n">
        <v>1.7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21017-2025</t>
        </is>
      </c>
      <c r="B12961" s="1" t="n">
        <v>45777</v>
      </c>
      <c r="C12961" s="1" t="n">
        <v>45793</v>
      </c>
      <c r="D12961" t="inlineStr">
        <is>
          <t>JÖNKÖPINGS LÄN</t>
        </is>
      </c>
      <c r="E12961" t="inlineStr">
        <is>
          <t>JÖNKÖPING</t>
        </is>
      </c>
      <c r="G12961" t="n">
        <v>3.5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21080-2025</t>
        </is>
      </c>
      <c r="B12962" s="1" t="n">
        <v>45777</v>
      </c>
      <c r="C12962" s="1" t="n">
        <v>45793</v>
      </c>
      <c r="D12962" t="inlineStr">
        <is>
          <t>JÖNKÖPINGS LÄN</t>
        </is>
      </c>
      <c r="E12962" t="inlineStr">
        <is>
          <t>GNOSJÖ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20986-2025</t>
        </is>
      </c>
      <c r="B12963" s="1" t="n">
        <v>45777</v>
      </c>
      <c r="C12963" s="1" t="n">
        <v>45793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9.6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21000-2025</t>
        </is>
      </c>
      <c r="B12964" s="1" t="n">
        <v>45777</v>
      </c>
      <c r="C12964" s="1" t="n">
        <v>45793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4.6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21118-2025</t>
        </is>
      </c>
      <c r="B12965" s="1" t="n">
        <v>45777</v>
      </c>
      <c r="C12965" s="1" t="n">
        <v>45793</v>
      </c>
      <c r="D12965" t="inlineStr">
        <is>
          <t>JÖNKÖPINGS LÄN</t>
        </is>
      </c>
      <c r="E12965" t="inlineStr">
        <is>
          <t>GNOSJÖ</t>
        </is>
      </c>
      <c r="G12965" t="n">
        <v>1.1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21019-2025</t>
        </is>
      </c>
      <c r="B12966" s="1" t="n">
        <v>45777</v>
      </c>
      <c r="C12966" s="1" t="n">
        <v>45793</v>
      </c>
      <c r="D12966" t="inlineStr">
        <is>
          <t>JÖNKÖPINGS LÄN</t>
        </is>
      </c>
      <c r="E12966" t="inlineStr">
        <is>
          <t>GISLAVED</t>
        </is>
      </c>
      <c r="G12966" t="n">
        <v>4.2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21073-2025</t>
        </is>
      </c>
      <c r="B12967" s="1" t="n">
        <v>45777</v>
      </c>
      <c r="C12967" s="1" t="n">
        <v>45793</v>
      </c>
      <c r="D12967" t="inlineStr">
        <is>
          <t>JÖNKÖPINGS LÄN</t>
        </is>
      </c>
      <c r="E12967" t="inlineStr">
        <is>
          <t>HABO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21082-2025</t>
        </is>
      </c>
      <c r="B12968" s="1" t="n">
        <v>45777</v>
      </c>
      <c r="C12968" s="1" t="n">
        <v>45793</v>
      </c>
      <c r="D12968" t="inlineStr">
        <is>
          <t>JÖNKÖPINGS LÄN</t>
        </is>
      </c>
      <c r="E12968" t="inlineStr">
        <is>
          <t>GNOSJÖ</t>
        </is>
      </c>
      <c r="G12968" t="n">
        <v>0.6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21116-2025</t>
        </is>
      </c>
      <c r="B12969" s="1" t="n">
        <v>45777</v>
      </c>
      <c r="C12969" s="1" t="n">
        <v>45793</v>
      </c>
      <c r="D12969" t="inlineStr">
        <is>
          <t>JÖNKÖPINGS LÄN</t>
        </is>
      </c>
      <c r="E12969" t="inlineStr">
        <is>
          <t>GNOSJÖ</t>
        </is>
      </c>
      <c r="G12969" t="n">
        <v>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21104-2025</t>
        </is>
      </c>
      <c r="B12970" s="1" t="n">
        <v>45777</v>
      </c>
      <c r="C12970" s="1" t="n">
        <v>45793</v>
      </c>
      <c r="D12970" t="inlineStr">
        <is>
          <t>JÖNKÖPINGS LÄN</t>
        </is>
      </c>
      <c r="E12970" t="inlineStr">
        <is>
          <t>VÄRNAMO</t>
        </is>
      </c>
      <c r="G12970" t="n">
        <v>0.5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21117-2025</t>
        </is>
      </c>
      <c r="B12971" s="1" t="n">
        <v>45777</v>
      </c>
      <c r="C12971" s="1" t="n">
        <v>45793</v>
      </c>
      <c r="D12971" t="inlineStr">
        <is>
          <t>JÖNKÖPINGS LÄN</t>
        </is>
      </c>
      <c r="E12971" t="inlineStr">
        <is>
          <t>GNOSJÖ</t>
        </is>
      </c>
      <c r="G12971" t="n">
        <v>0.6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21122-2025</t>
        </is>
      </c>
      <c r="B12972" s="1" t="n">
        <v>45777</v>
      </c>
      <c r="C12972" s="1" t="n">
        <v>45793</v>
      </c>
      <c r="D12972" t="inlineStr">
        <is>
          <t>JÖNKÖPINGS LÄN</t>
        </is>
      </c>
      <c r="E12972" t="inlineStr">
        <is>
          <t>GISLAVED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21072-2025</t>
        </is>
      </c>
      <c r="B12973" s="1" t="n">
        <v>45777</v>
      </c>
      <c r="C12973" s="1" t="n">
        <v>45793</v>
      </c>
      <c r="D12973" t="inlineStr">
        <is>
          <t>JÖNKÖPINGS LÄN</t>
        </is>
      </c>
      <c r="E12973" t="inlineStr">
        <is>
          <t>HABO</t>
        </is>
      </c>
      <c r="G12973" t="n">
        <v>1.3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21076-2025</t>
        </is>
      </c>
      <c r="B12974" s="1" t="n">
        <v>45777</v>
      </c>
      <c r="C12974" s="1" t="n">
        <v>45793</v>
      </c>
      <c r="D12974" t="inlineStr">
        <is>
          <t>JÖNKÖPINGS LÄN</t>
        </is>
      </c>
      <c r="E12974" t="inlineStr">
        <is>
          <t>GNOSJÖ</t>
        </is>
      </c>
      <c r="G12974" t="n">
        <v>2.6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21077-2025</t>
        </is>
      </c>
      <c r="B12975" s="1" t="n">
        <v>45777</v>
      </c>
      <c r="C12975" s="1" t="n">
        <v>45793</v>
      </c>
      <c r="D12975" t="inlineStr">
        <is>
          <t>JÖNKÖPINGS LÄN</t>
        </is>
      </c>
      <c r="E12975" t="inlineStr">
        <is>
          <t>VETLANDA</t>
        </is>
      </c>
      <c r="G12975" t="n">
        <v>1.8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21120-2025</t>
        </is>
      </c>
      <c r="B12976" s="1" t="n">
        <v>45777</v>
      </c>
      <c r="C12976" s="1" t="n">
        <v>45793</v>
      </c>
      <c r="D12976" t="inlineStr">
        <is>
          <t>JÖNKÖPINGS LÄN</t>
        </is>
      </c>
      <c r="E12976" t="inlineStr">
        <is>
          <t>GNOSJÖ</t>
        </is>
      </c>
      <c r="G12976" t="n">
        <v>1.4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21224-2025</t>
        </is>
      </c>
      <c r="B12977" s="1" t="n">
        <v>45779</v>
      </c>
      <c r="C12977" s="1" t="n">
        <v>45793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3.1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21268-2025</t>
        </is>
      </c>
      <c r="B12978" s="1" t="n">
        <v>45779</v>
      </c>
      <c r="C12978" s="1" t="n">
        <v>45793</v>
      </c>
      <c r="D12978" t="inlineStr">
        <is>
          <t>JÖNKÖPINGS LÄN</t>
        </is>
      </c>
      <c r="E12978" t="inlineStr">
        <is>
          <t>JÖNKÖPING</t>
        </is>
      </c>
      <c r="G12978" t="n">
        <v>1.9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21270-2025</t>
        </is>
      </c>
      <c r="B12979" s="1" t="n">
        <v>45779</v>
      </c>
      <c r="C12979" s="1" t="n">
        <v>45793</v>
      </c>
      <c r="D12979" t="inlineStr">
        <is>
          <t>JÖNKÖPINGS LÄN</t>
        </is>
      </c>
      <c r="E12979" t="inlineStr">
        <is>
          <t>JÖNKÖPING</t>
        </is>
      </c>
      <c r="G12979" t="n">
        <v>2.3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21149-2025</t>
        </is>
      </c>
      <c r="B12980" s="1" t="n">
        <v>45779</v>
      </c>
      <c r="C12980" s="1" t="n">
        <v>45793</v>
      </c>
      <c r="D12980" t="inlineStr">
        <is>
          <t>JÖNKÖPINGS LÄN</t>
        </is>
      </c>
      <c r="E12980" t="inlineStr">
        <is>
          <t>EKSJÖ</t>
        </is>
      </c>
      <c r="G12980" t="n">
        <v>1.4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21146-2025</t>
        </is>
      </c>
      <c r="B12981" s="1" t="n">
        <v>45779</v>
      </c>
      <c r="C12981" s="1" t="n">
        <v>45793</v>
      </c>
      <c r="D12981" t="inlineStr">
        <is>
          <t>JÖNKÖPINGS LÄN</t>
        </is>
      </c>
      <c r="E12981" t="inlineStr">
        <is>
          <t>EKSJÖ</t>
        </is>
      </c>
      <c r="G12981" t="n">
        <v>0.7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21147-2025</t>
        </is>
      </c>
      <c r="B12982" s="1" t="n">
        <v>45779</v>
      </c>
      <c r="C12982" s="1" t="n">
        <v>45793</v>
      </c>
      <c r="D12982" t="inlineStr">
        <is>
          <t>JÖNKÖPINGS LÄN</t>
        </is>
      </c>
      <c r="E12982" t="inlineStr">
        <is>
          <t>EKSJÖ</t>
        </is>
      </c>
      <c r="G12982" t="n">
        <v>2.2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21291-2025</t>
        </is>
      </c>
      <c r="B12983" s="1" t="n">
        <v>45779</v>
      </c>
      <c r="C12983" s="1" t="n">
        <v>45793</v>
      </c>
      <c r="D12983" t="inlineStr">
        <is>
          <t>JÖNKÖPINGS LÄN</t>
        </is>
      </c>
      <c r="E12983" t="inlineStr">
        <is>
          <t>EKSJÖ</t>
        </is>
      </c>
      <c r="G12983" t="n">
        <v>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21468-2025</t>
        </is>
      </c>
      <c r="B12984" s="1" t="n">
        <v>45782</v>
      </c>
      <c r="C12984" s="1" t="n">
        <v>45793</v>
      </c>
      <c r="D12984" t="inlineStr">
        <is>
          <t>JÖNKÖPINGS LÄN</t>
        </is>
      </c>
      <c r="E12984" t="inlineStr">
        <is>
          <t>GISLAVED</t>
        </is>
      </c>
      <c r="G12984" t="n">
        <v>2.6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21467-2025</t>
        </is>
      </c>
      <c r="B12985" s="1" t="n">
        <v>45782</v>
      </c>
      <c r="C12985" s="1" t="n">
        <v>45793</v>
      </c>
      <c r="D12985" t="inlineStr">
        <is>
          <t>JÖNKÖPINGS LÄN</t>
        </is>
      </c>
      <c r="E12985" t="inlineStr">
        <is>
          <t>VAGGERYD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21378-2025</t>
        </is>
      </c>
      <c r="B12986" s="1" t="n">
        <v>45782</v>
      </c>
      <c r="C12986" s="1" t="n">
        <v>45793</v>
      </c>
      <c r="D12986" t="inlineStr">
        <is>
          <t>JÖNKÖPINGS LÄN</t>
        </is>
      </c>
      <c r="E12986" t="inlineStr">
        <is>
          <t>SÄVSJÖ</t>
        </is>
      </c>
      <c r="G12986" t="n">
        <v>1.6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21459-2025</t>
        </is>
      </c>
      <c r="B12987" s="1" t="n">
        <v>45782</v>
      </c>
      <c r="C12987" s="1" t="n">
        <v>45793</v>
      </c>
      <c r="D12987" t="inlineStr">
        <is>
          <t>JÖNKÖPINGS LÄN</t>
        </is>
      </c>
      <c r="E12987" t="inlineStr">
        <is>
          <t>TRANÅS</t>
        </is>
      </c>
      <c r="G12987" t="n">
        <v>1.8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21315-2025</t>
        </is>
      </c>
      <c r="B12988" s="1" t="n">
        <v>45782</v>
      </c>
      <c r="C12988" s="1" t="n">
        <v>45793</v>
      </c>
      <c r="D12988" t="inlineStr">
        <is>
          <t>JÖNKÖPINGS LÄN</t>
        </is>
      </c>
      <c r="E12988" t="inlineStr">
        <is>
          <t>VÄRNAMO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21351-2025</t>
        </is>
      </c>
      <c r="B12989" s="1" t="n">
        <v>45782</v>
      </c>
      <c r="C12989" s="1" t="n">
        <v>45793</v>
      </c>
      <c r="D12989" t="inlineStr">
        <is>
          <t>JÖNKÖPINGS LÄN</t>
        </is>
      </c>
      <c r="E12989" t="inlineStr">
        <is>
          <t>TRANÅS</t>
        </is>
      </c>
      <c r="G12989" t="n">
        <v>11.5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45793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45793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21333-2025</t>
        </is>
      </c>
      <c r="B12992" s="1" t="n">
        <v>45782</v>
      </c>
      <c r="C12992" s="1" t="n">
        <v>45793</v>
      </c>
      <c r="D12992" t="inlineStr">
        <is>
          <t>JÖNKÖPINGS LÄN</t>
        </is>
      </c>
      <c r="E12992" t="inlineStr">
        <is>
          <t>ANEBY</t>
        </is>
      </c>
      <c r="G12992" t="n">
        <v>1.2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45793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21675-2025</t>
        </is>
      </c>
      <c r="B12994" s="1" t="n">
        <v>45783</v>
      </c>
      <c r="C12994" s="1" t="n">
        <v>45793</v>
      </c>
      <c r="D12994" t="inlineStr">
        <is>
          <t>JÖNKÖPINGS LÄN</t>
        </is>
      </c>
      <c r="E12994" t="inlineStr">
        <is>
          <t>VAGGERYD</t>
        </is>
      </c>
      <c r="F12994" t="inlineStr">
        <is>
          <t>Sveaskog</t>
        </is>
      </c>
      <c r="G12994" t="n">
        <v>2.9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21676-2025</t>
        </is>
      </c>
      <c r="B12995" s="1" t="n">
        <v>45783</v>
      </c>
      <c r="C12995" s="1" t="n">
        <v>45793</v>
      </c>
      <c r="D12995" t="inlineStr">
        <is>
          <t>JÖNKÖPINGS LÄN</t>
        </is>
      </c>
      <c r="E12995" t="inlineStr">
        <is>
          <t>VETLANDA</t>
        </is>
      </c>
      <c r="G12995" t="n">
        <v>2.4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21703-2025</t>
        </is>
      </c>
      <c r="B12996" s="1" t="n">
        <v>45783</v>
      </c>
      <c r="C12996" s="1" t="n">
        <v>45793</v>
      </c>
      <c r="D12996" t="inlineStr">
        <is>
          <t>JÖNKÖPINGS LÄN</t>
        </is>
      </c>
      <c r="E12996" t="inlineStr">
        <is>
          <t>EKSJÖ</t>
        </is>
      </c>
      <c r="G12996" t="n">
        <v>3.1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45793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21746-2025</t>
        </is>
      </c>
      <c r="B12998" s="1" t="n">
        <v>45783</v>
      </c>
      <c r="C12998" s="1" t="n">
        <v>45793</v>
      </c>
      <c r="D12998" t="inlineStr">
        <is>
          <t>JÖNKÖPINGS LÄN</t>
        </is>
      </c>
      <c r="E12998" t="inlineStr">
        <is>
          <t>VÄRNAMO</t>
        </is>
      </c>
      <c r="G12998" t="n">
        <v>2.1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21756-2025</t>
        </is>
      </c>
      <c r="B12999" s="1" t="n">
        <v>45783</v>
      </c>
      <c r="C12999" s="1" t="n">
        <v>45793</v>
      </c>
      <c r="D12999" t="inlineStr">
        <is>
          <t>JÖNKÖPINGS LÄN</t>
        </is>
      </c>
      <c r="E12999" t="inlineStr">
        <is>
          <t>GISLAVED</t>
        </is>
      </c>
      <c r="G12999" t="n">
        <v>3.7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21820-2025</t>
        </is>
      </c>
      <c r="B13000" s="1" t="n">
        <v>45783</v>
      </c>
      <c r="C13000" s="1" t="n">
        <v>45793</v>
      </c>
      <c r="D13000" t="inlineStr">
        <is>
          <t>JÖNKÖPINGS LÄN</t>
        </is>
      </c>
      <c r="E13000" t="inlineStr">
        <is>
          <t>VETLANDA</t>
        </is>
      </c>
      <c r="G13000" t="n">
        <v>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21818-2025</t>
        </is>
      </c>
      <c r="B13001" s="1" t="n">
        <v>45783</v>
      </c>
      <c r="C13001" s="1" t="n">
        <v>45793</v>
      </c>
      <c r="D13001" t="inlineStr">
        <is>
          <t>JÖNKÖPINGS LÄN</t>
        </is>
      </c>
      <c r="E13001" t="inlineStr">
        <is>
          <t>VETLANDA</t>
        </is>
      </c>
      <c r="G13001" t="n">
        <v>0.7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21989-2025</t>
        </is>
      </c>
      <c r="B13002" s="1" t="n">
        <v>45784</v>
      </c>
      <c r="C13002" s="1" t="n">
        <v>45793</v>
      </c>
      <c r="D13002" t="inlineStr">
        <is>
          <t>JÖNKÖPINGS LÄN</t>
        </is>
      </c>
      <c r="E13002" t="inlineStr">
        <is>
          <t>NÄSSJÖ</t>
        </is>
      </c>
      <c r="G13002" t="n">
        <v>0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21995-2025</t>
        </is>
      </c>
      <c r="B13003" s="1" t="n">
        <v>45784</v>
      </c>
      <c r="C13003" s="1" t="n">
        <v>45793</v>
      </c>
      <c r="D13003" t="inlineStr">
        <is>
          <t>JÖNKÖPINGS LÄN</t>
        </is>
      </c>
      <c r="E13003" t="inlineStr">
        <is>
          <t>GISLAVED</t>
        </is>
      </c>
      <c r="G13003" t="n">
        <v>2.8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21997-2025</t>
        </is>
      </c>
      <c r="B13004" s="1" t="n">
        <v>45784</v>
      </c>
      <c r="C13004" s="1" t="n">
        <v>45793</v>
      </c>
      <c r="D13004" t="inlineStr">
        <is>
          <t>JÖNKÖPINGS LÄN</t>
        </is>
      </c>
      <c r="E13004" t="inlineStr">
        <is>
          <t>NÄSSJÖ</t>
        </is>
      </c>
      <c r="G13004" t="n">
        <v>3.5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21901-2025</t>
        </is>
      </c>
      <c r="B13005" s="1" t="n">
        <v>45784</v>
      </c>
      <c r="C13005" s="1" t="n">
        <v>45793</v>
      </c>
      <c r="D13005" t="inlineStr">
        <is>
          <t>JÖNKÖPINGS LÄN</t>
        </is>
      </c>
      <c r="E13005" t="inlineStr">
        <is>
          <t>VETLANDA</t>
        </is>
      </c>
      <c r="G13005" t="n">
        <v>1.2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22020-2025</t>
        </is>
      </c>
      <c r="B13006" s="1" t="n">
        <v>45784</v>
      </c>
      <c r="C13006" s="1" t="n">
        <v>45793</v>
      </c>
      <c r="D13006" t="inlineStr">
        <is>
          <t>JÖNKÖPINGS LÄN</t>
        </is>
      </c>
      <c r="E13006" t="inlineStr">
        <is>
          <t>JÖNKÖPING</t>
        </is>
      </c>
      <c r="G13006" t="n">
        <v>1.9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21975-2025</t>
        </is>
      </c>
      <c r="B13007" s="1" t="n">
        <v>45784</v>
      </c>
      <c r="C13007" s="1" t="n">
        <v>45793</v>
      </c>
      <c r="D13007" t="inlineStr">
        <is>
          <t>JÖNKÖPINGS LÄN</t>
        </is>
      </c>
      <c r="E13007" t="inlineStr">
        <is>
          <t>NÄSSJÖ</t>
        </is>
      </c>
      <c r="G13007" t="n">
        <v>1.1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21994-2025</t>
        </is>
      </c>
      <c r="B13008" s="1" t="n">
        <v>45784</v>
      </c>
      <c r="C13008" s="1" t="n">
        <v>45793</v>
      </c>
      <c r="D13008" t="inlineStr">
        <is>
          <t>JÖNKÖPINGS LÄN</t>
        </is>
      </c>
      <c r="E13008" t="inlineStr">
        <is>
          <t>GISLAVED</t>
        </is>
      </c>
      <c r="G13008" t="n">
        <v>0.8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21996-2025</t>
        </is>
      </c>
      <c r="B13009" s="1" t="n">
        <v>45784</v>
      </c>
      <c r="C13009" s="1" t="n">
        <v>45793</v>
      </c>
      <c r="D13009" t="inlineStr">
        <is>
          <t>JÖNKÖPINGS LÄN</t>
        </is>
      </c>
      <c r="E13009" t="inlineStr">
        <is>
          <t>NÄSSJÖ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22155-2025</t>
        </is>
      </c>
      <c r="B13010" s="1" t="n">
        <v>45785</v>
      </c>
      <c r="C13010" s="1" t="n">
        <v>45793</v>
      </c>
      <c r="D13010" t="inlineStr">
        <is>
          <t>JÖNKÖPINGS LÄN</t>
        </is>
      </c>
      <c r="E13010" t="inlineStr">
        <is>
          <t>VETLANDA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22168-2025</t>
        </is>
      </c>
      <c r="B13011" s="1" t="n">
        <v>45785</v>
      </c>
      <c r="C13011" s="1" t="n">
        <v>45793</v>
      </c>
      <c r="D13011" t="inlineStr">
        <is>
          <t>JÖNKÖPINGS LÄN</t>
        </is>
      </c>
      <c r="E13011" t="inlineStr">
        <is>
          <t>NÄSSJÖ</t>
        </is>
      </c>
      <c r="G13011" t="n">
        <v>4.8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22086-2025</t>
        </is>
      </c>
      <c r="B13012" s="1" t="n">
        <v>45785</v>
      </c>
      <c r="C13012" s="1" t="n">
        <v>45793</v>
      </c>
      <c r="D13012" t="inlineStr">
        <is>
          <t>JÖNKÖPINGS LÄN</t>
        </is>
      </c>
      <c r="E13012" t="inlineStr">
        <is>
          <t>VÄRNAMO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22158-2025</t>
        </is>
      </c>
      <c r="B13013" s="1" t="n">
        <v>45785</v>
      </c>
      <c r="C13013" s="1" t="n">
        <v>45793</v>
      </c>
      <c r="D13013" t="inlineStr">
        <is>
          <t>JÖNKÖPINGS LÄN</t>
        </is>
      </c>
      <c r="E13013" t="inlineStr">
        <is>
          <t>EKSJÖ</t>
        </is>
      </c>
      <c r="G13013" t="n">
        <v>4.5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22221-2025</t>
        </is>
      </c>
      <c r="B13014" s="1" t="n">
        <v>45785</v>
      </c>
      <c r="C13014" s="1" t="n">
        <v>45793</v>
      </c>
      <c r="D13014" t="inlineStr">
        <is>
          <t>JÖNKÖPINGS LÄN</t>
        </is>
      </c>
      <c r="E13014" t="inlineStr">
        <is>
          <t>JÖNKÖPING</t>
        </is>
      </c>
      <c r="G13014" t="n">
        <v>4.5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22176-2025</t>
        </is>
      </c>
      <c r="B13015" s="1" t="n">
        <v>45785</v>
      </c>
      <c r="C13015" s="1" t="n">
        <v>45793</v>
      </c>
      <c r="D13015" t="inlineStr">
        <is>
          <t>JÖNKÖPINGS LÄN</t>
        </is>
      </c>
      <c r="E13015" t="inlineStr">
        <is>
          <t>EKSJÖ</t>
        </is>
      </c>
      <c r="G13015" t="n">
        <v>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22263-2025</t>
        </is>
      </c>
      <c r="B13016" s="1" t="n">
        <v>45785</v>
      </c>
      <c r="C13016" s="1" t="n">
        <v>45793</v>
      </c>
      <c r="D13016" t="inlineStr">
        <is>
          <t>JÖNKÖPINGS LÄN</t>
        </is>
      </c>
      <c r="E13016" t="inlineStr">
        <is>
          <t>SÄVSJÖ</t>
        </is>
      </c>
      <c r="G13016" t="n">
        <v>1.8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22066-2025</t>
        </is>
      </c>
      <c r="B13017" s="1" t="n">
        <v>45785</v>
      </c>
      <c r="C13017" s="1" t="n">
        <v>45793</v>
      </c>
      <c r="D13017" t="inlineStr">
        <is>
          <t>JÖNKÖPINGS LÄN</t>
        </is>
      </c>
      <c r="E13017" t="inlineStr">
        <is>
          <t>SÄVSJÖ</t>
        </is>
      </c>
      <c r="G13017" t="n">
        <v>1.6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45793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22248-2025</t>
        </is>
      </c>
      <c r="B13019" s="1" t="n">
        <v>45785</v>
      </c>
      <c r="C13019" s="1" t="n">
        <v>45793</v>
      </c>
      <c r="D13019" t="inlineStr">
        <is>
          <t>JÖNKÖPINGS LÄN</t>
        </is>
      </c>
      <c r="E13019" t="inlineStr">
        <is>
          <t>GISLAVED</t>
        </is>
      </c>
      <c r="F13019" t="inlineStr">
        <is>
          <t>Sveaskog</t>
        </is>
      </c>
      <c r="G13019" t="n">
        <v>2.7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22081-2025</t>
        </is>
      </c>
      <c r="B13020" s="1" t="n">
        <v>45785</v>
      </c>
      <c r="C13020" s="1" t="n">
        <v>45793</v>
      </c>
      <c r="D13020" t="inlineStr">
        <is>
          <t>JÖNKÖPINGS LÄN</t>
        </is>
      </c>
      <c r="E13020" t="inlineStr">
        <is>
          <t>VAGGERYD</t>
        </is>
      </c>
      <c r="G13020" t="n">
        <v>1.4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22101-2025</t>
        </is>
      </c>
      <c r="B13021" s="1" t="n">
        <v>45785</v>
      </c>
      <c r="C13021" s="1" t="n">
        <v>45793</v>
      </c>
      <c r="D13021" t="inlineStr">
        <is>
          <t>JÖNKÖPINGS LÄN</t>
        </is>
      </c>
      <c r="E13021" t="inlineStr">
        <is>
          <t>VÄRNAMO</t>
        </is>
      </c>
      <c r="G13021" t="n">
        <v>1.3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22160-2025</t>
        </is>
      </c>
      <c r="B13022" s="1" t="n">
        <v>45785</v>
      </c>
      <c r="C13022" s="1" t="n">
        <v>45793</v>
      </c>
      <c r="D13022" t="inlineStr">
        <is>
          <t>JÖNKÖPINGS LÄN</t>
        </is>
      </c>
      <c r="E13022" t="inlineStr">
        <is>
          <t>EKSJÖ</t>
        </is>
      </c>
      <c r="G13022" t="n">
        <v>5.3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22121-2025</t>
        </is>
      </c>
      <c r="B13023" s="1" t="n">
        <v>45785</v>
      </c>
      <c r="C13023" s="1" t="n">
        <v>45793</v>
      </c>
      <c r="D13023" t="inlineStr">
        <is>
          <t>JÖNKÖPINGS LÄN</t>
        </is>
      </c>
      <c r="E13023" t="inlineStr">
        <is>
          <t>VETLANDA</t>
        </is>
      </c>
      <c r="G13023" t="n">
        <v>2.2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22087-2025</t>
        </is>
      </c>
      <c r="B13024" s="1" t="n">
        <v>45785</v>
      </c>
      <c r="C13024" s="1" t="n">
        <v>45793</v>
      </c>
      <c r="D13024" t="inlineStr">
        <is>
          <t>JÖNKÖPINGS LÄN</t>
        </is>
      </c>
      <c r="E13024" t="inlineStr">
        <is>
          <t>VÄRNAMO</t>
        </is>
      </c>
      <c r="G13024" t="n">
        <v>4.8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22253-2025</t>
        </is>
      </c>
      <c r="B13025" s="1" t="n">
        <v>45785</v>
      </c>
      <c r="C13025" s="1" t="n">
        <v>45793</v>
      </c>
      <c r="D13025" t="inlineStr">
        <is>
          <t>JÖNKÖPINGS LÄN</t>
        </is>
      </c>
      <c r="E13025" t="inlineStr">
        <is>
          <t>VETLANDA</t>
        </is>
      </c>
      <c r="G13025" t="n">
        <v>1.9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22246-2025</t>
        </is>
      </c>
      <c r="B13026" s="1" t="n">
        <v>45785</v>
      </c>
      <c r="C13026" s="1" t="n">
        <v>45793</v>
      </c>
      <c r="D13026" t="inlineStr">
        <is>
          <t>JÖNKÖPINGS LÄN</t>
        </is>
      </c>
      <c r="E13026" t="inlineStr">
        <is>
          <t>GISLAVED</t>
        </is>
      </c>
      <c r="F13026" t="inlineStr">
        <is>
          <t>Sveaskog</t>
        </is>
      </c>
      <c r="G13026" t="n">
        <v>0.9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22258-2025</t>
        </is>
      </c>
      <c r="B13027" s="1" t="n">
        <v>45785</v>
      </c>
      <c r="C13027" s="1" t="n">
        <v>45793</v>
      </c>
      <c r="D13027" t="inlineStr">
        <is>
          <t>JÖNKÖPINGS LÄN</t>
        </is>
      </c>
      <c r="E13027" t="inlineStr">
        <is>
          <t>VETLANDA</t>
        </is>
      </c>
      <c r="G13027" t="n">
        <v>0.7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22421-2025</t>
        </is>
      </c>
      <c r="B13028" s="1" t="n">
        <v>45786</v>
      </c>
      <c r="C13028" s="1" t="n">
        <v>45793</v>
      </c>
      <c r="D13028" t="inlineStr">
        <is>
          <t>JÖNKÖPINGS LÄN</t>
        </is>
      </c>
      <c r="E13028" t="inlineStr">
        <is>
          <t>VETLANDA</t>
        </is>
      </c>
      <c r="G13028" t="n">
        <v>2.1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22367-2025</t>
        </is>
      </c>
      <c r="B13029" s="1" t="n">
        <v>45786</v>
      </c>
      <c r="C13029" s="1" t="n">
        <v>45793</v>
      </c>
      <c r="D13029" t="inlineStr">
        <is>
          <t>JÖNKÖPINGS LÄN</t>
        </is>
      </c>
      <c r="E13029" t="inlineStr">
        <is>
          <t>VÄRNAMO</t>
        </is>
      </c>
      <c r="G13029" t="n">
        <v>1.8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22374-2025</t>
        </is>
      </c>
      <c r="B13030" s="1" t="n">
        <v>45786</v>
      </c>
      <c r="C13030" s="1" t="n">
        <v>45793</v>
      </c>
      <c r="D13030" t="inlineStr">
        <is>
          <t>JÖNKÖPINGS LÄN</t>
        </is>
      </c>
      <c r="E13030" t="inlineStr">
        <is>
          <t>VETLANDA</t>
        </is>
      </c>
      <c r="G13030" t="n">
        <v>0.7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22298-2025</t>
        </is>
      </c>
      <c r="B13031" s="1" t="n">
        <v>45786</v>
      </c>
      <c r="C13031" s="1" t="n">
        <v>45793</v>
      </c>
      <c r="D13031" t="inlineStr">
        <is>
          <t>JÖNKÖPINGS LÄN</t>
        </is>
      </c>
      <c r="E13031" t="inlineStr">
        <is>
          <t>EKSJÖ</t>
        </is>
      </c>
      <c r="G13031" t="n">
        <v>0.6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22463-2025</t>
        </is>
      </c>
      <c r="B13032" s="1" t="n">
        <v>45786</v>
      </c>
      <c r="C13032" s="1" t="n">
        <v>45793</v>
      </c>
      <c r="D13032" t="inlineStr">
        <is>
          <t>JÖNKÖPINGS LÄN</t>
        </is>
      </c>
      <c r="E13032" t="inlineStr">
        <is>
          <t>VETLANDA</t>
        </is>
      </c>
      <c r="G13032" t="n">
        <v>0.9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22465-2025</t>
        </is>
      </c>
      <c r="B13033" s="1" t="n">
        <v>45786</v>
      </c>
      <c r="C13033" s="1" t="n">
        <v>45793</v>
      </c>
      <c r="D13033" t="inlineStr">
        <is>
          <t>JÖNKÖPINGS LÄN</t>
        </is>
      </c>
      <c r="E13033" t="inlineStr">
        <is>
          <t>VETLANDA</t>
        </is>
      </c>
      <c r="G13033" t="n">
        <v>1.2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22430-2025</t>
        </is>
      </c>
      <c r="B13034" s="1" t="n">
        <v>45786</v>
      </c>
      <c r="C13034" s="1" t="n">
        <v>45793</v>
      </c>
      <c r="D13034" t="inlineStr">
        <is>
          <t>JÖNKÖPINGS LÄN</t>
        </is>
      </c>
      <c r="E13034" t="inlineStr">
        <is>
          <t>TRANÅS</t>
        </is>
      </c>
      <c r="G13034" t="n">
        <v>1.5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22420-2025</t>
        </is>
      </c>
      <c r="B13035" s="1" t="n">
        <v>45786</v>
      </c>
      <c r="C13035" s="1" t="n">
        <v>45793</v>
      </c>
      <c r="D13035" t="inlineStr">
        <is>
          <t>JÖNKÖPINGS LÄN</t>
        </is>
      </c>
      <c r="E13035" t="inlineStr">
        <is>
          <t>VETLANDA</t>
        </is>
      </c>
      <c r="G13035" t="n">
        <v>2.5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22422-2025</t>
        </is>
      </c>
      <c r="B13036" s="1" t="n">
        <v>45786</v>
      </c>
      <c r="C13036" s="1" t="n">
        <v>45793</v>
      </c>
      <c r="D13036" t="inlineStr">
        <is>
          <t>JÖNKÖPINGS LÄN</t>
        </is>
      </c>
      <c r="E13036" t="inlineStr">
        <is>
          <t>VETLANDA</t>
        </is>
      </c>
      <c r="G13036" t="n">
        <v>0.5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22419-2025</t>
        </is>
      </c>
      <c r="B13037" s="1" t="n">
        <v>45786</v>
      </c>
      <c r="C13037" s="1" t="n">
        <v>45793</v>
      </c>
      <c r="D13037" t="inlineStr">
        <is>
          <t>JÖNKÖPINGS LÄN</t>
        </is>
      </c>
      <c r="E13037" t="inlineStr">
        <is>
          <t>VETLANDA</t>
        </is>
      </c>
      <c r="G13037" t="n">
        <v>3.7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22308-2025</t>
        </is>
      </c>
      <c r="B13038" s="1" t="n">
        <v>45786</v>
      </c>
      <c r="C13038" s="1" t="n">
        <v>45793</v>
      </c>
      <c r="D13038" t="inlineStr">
        <is>
          <t>JÖNKÖPINGS LÄN</t>
        </is>
      </c>
      <c r="E13038" t="inlineStr">
        <is>
          <t>VETLANDA</t>
        </is>
      </c>
      <c r="G13038" t="n">
        <v>3.7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22574-2025</t>
        </is>
      </c>
      <c r="B13039" s="1" t="n">
        <v>45786</v>
      </c>
      <c r="C13039" s="1" t="n">
        <v>45793</v>
      </c>
      <c r="D13039" t="inlineStr">
        <is>
          <t>JÖNKÖPINGS LÄN</t>
        </is>
      </c>
      <c r="E13039" t="inlineStr">
        <is>
          <t>EKSJÖ</t>
        </is>
      </c>
      <c r="G13039" t="n">
        <v>0.5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22527-2025</t>
        </is>
      </c>
      <c r="B13040" s="1" t="n">
        <v>45786</v>
      </c>
      <c r="C13040" s="1" t="n">
        <v>45793</v>
      </c>
      <c r="D13040" t="inlineStr">
        <is>
          <t>JÖNKÖPINGS LÄN</t>
        </is>
      </c>
      <c r="E13040" t="inlineStr">
        <is>
          <t>NÄSSJÖ</t>
        </is>
      </c>
      <c r="G13040" t="n">
        <v>2.3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22575-2025</t>
        </is>
      </c>
      <c r="B13041" s="1" t="n">
        <v>45786</v>
      </c>
      <c r="C13041" s="1" t="n">
        <v>45793</v>
      </c>
      <c r="D13041" t="inlineStr">
        <is>
          <t>JÖNKÖPINGS LÄN</t>
        </is>
      </c>
      <c r="E13041" t="inlineStr">
        <is>
          <t>EKSJÖ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22553-2025</t>
        </is>
      </c>
      <c r="B13042" s="1" t="n">
        <v>45788</v>
      </c>
      <c r="C13042" s="1" t="n">
        <v>45793</v>
      </c>
      <c r="D13042" t="inlineStr">
        <is>
          <t>JÖNKÖPINGS LÄN</t>
        </is>
      </c>
      <c r="E13042" t="inlineStr">
        <is>
          <t>JÖNKÖPING</t>
        </is>
      </c>
      <c r="G13042" t="n">
        <v>1.4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22541-2025</t>
        </is>
      </c>
      <c r="B13043" s="1" t="n">
        <v>45788</v>
      </c>
      <c r="C13043" s="1" t="n">
        <v>45793</v>
      </c>
      <c r="D13043" t="inlineStr">
        <is>
          <t>JÖNKÖPINGS LÄN</t>
        </is>
      </c>
      <c r="E13043" t="inlineStr">
        <is>
          <t>JÖNKÖPING</t>
        </is>
      </c>
      <c r="G13043" t="n">
        <v>1.8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22542-2025</t>
        </is>
      </c>
      <c r="B13044" s="1" t="n">
        <v>45788</v>
      </c>
      <c r="C13044" s="1" t="n">
        <v>45793</v>
      </c>
      <c r="D13044" t="inlineStr">
        <is>
          <t>JÖNKÖPINGS LÄN</t>
        </is>
      </c>
      <c r="E13044" t="inlineStr">
        <is>
          <t>JÖNKÖPING</t>
        </is>
      </c>
      <c r="G13044" t="n">
        <v>2.1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22552-2025</t>
        </is>
      </c>
      <c r="B13045" s="1" t="n">
        <v>45788</v>
      </c>
      <c r="C13045" s="1" t="n">
        <v>45793</v>
      </c>
      <c r="D13045" t="inlineStr">
        <is>
          <t>JÖNKÖPINGS LÄN</t>
        </is>
      </c>
      <c r="E13045" t="inlineStr">
        <is>
          <t>VÄRNAMO</t>
        </is>
      </c>
      <c r="G13045" t="n">
        <v>1.3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22554-2025</t>
        </is>
      </c>
      <c r="B13046" s="1" t="n">
        <v>45788</v>
      </c>
      <c r="C13046" s="1" t="n">
        <v>45793</v>
      </c>
      <c r="D13046" t="inlineStr">
        <is>
          <t>JÖNKÖPINGS LÄN</t>
        </is>
      </c>
      <c r="E13046" t="inlineStr">
        <is>
          <t>JÖNKÖPING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22620-2025</t>
        </is>
      </c>
      <c r="B13047" s="1" t="n">
        <v>45789</v>
      </c>
      <c r="C13047" s="1" t="n">
        <v>45793</v>
      </c>
      <c r="D13047" t="inlineStr">
        <is>
          <t>JÖNKÖPINGS LÄN</t>
        </is>
      </c>
      <c r="E13047" t="inlineStr">
        <is>
          <t>TRANÅS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22671-2025</t>
        </is>
      </c>
      <c r="B13048" s="1" t="n">
        <v>45789</v>
      </c>
      <c r="C13048" s="1" t="n">
        <v>45793</v>
      </c>
      <c r="D13048" t="inlineStr">
        <is>
          <t>JÖNKÖPINGS LÄN</t>
        </is>
      </c>
      <c r="E13048" t="inlineStr">
        <is>
          <t>TRANÅS</t>
        </is>
      </c>
      <c r="G13048" t="n">
        <v>2.5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22691-2025</t>
        </is>
      </c>
      <c r="B13049" s="1" t="n">
        <v>45789</v>
      </c>
      <c r="C13049" s="1" t="n">
        <v>45793</v>
      </c>
      <c r="D13049" t="inlineStr">
        <is>
          <t>JÖNKÖPINGS LÄN</t>
        </is>
      </c>
      <c r="E13049" t="inlineStr">
        <is>
          <t>HABO</t>
        </is>
      </c>
      <c r="G13049" t="n">
        <v>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22696-2025</t>
        </is>
      </c>
      <c r="B13050" s="1" t="n">
        <v>45789</v>
      </c>
      <c r="C13050" s="1" t="n">
        <v>45793</v>
      </c>
      <c r="D13050" t="inlineStr">
        <is>
          <t>JÖNKÖPINGS LÄN</t>
        </is>
      </c>
      <c r="E13050" t="inlineStr">
        <is>
          <t>JÖNKÖPING</t>
        </is>
      </c>
      <c r="G13050" t="n">
        <v>0.8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22830-2025</t>
        </is>
      </c>
      <c r="B13051" s="1" t="n">
        <v>45789</v>
      </c>
      <c r="C13051" s="1" t="n">
        <v>45793</v>
      </c>
      <c r="D13051" t="inlineStr">
        <is>
          <t>JÖNKÖPINGS LÄN</t>
        </is>
      </c>
      <c r="E13051" t="inlineStr">
        <is>
          <t>VAGGERYD</t>
        </is>
      </c>
      <c r="F13051" t="inlineStr">
        <is>
          <t>Sveaskog</t>
        </is>
      </c>
      <c r="G13051" t="n">
        <v>2.6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22831-2025</t>
        </is>
      </c>
      <c r="B13052" s="1" t="n">
        <v>45789</v>
      </c>
      <c r="C13052" s="1" t="n">
        <v>45793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5.5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22860-2025</t>
        </is>
      </c>
      <c r="B13053" s="1" t="n">
        <v>45790</v>
      </c>
      <c r="C13053" s="1" t="n">
        <v>45793</v>
      </c>
      <c r="D13053" t="inlineStr">
        <is>
          <t>JÖNKÖPINGS LÄN</t>
        </is>
      </c>
      <c r="E13053" t="inlineStr">
        <is>
          <t>GISLAVED</t>
        </is>
      </c>
      <c r="G13053" t="n">
        <v>2.7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22987-2025</t>
        </is>
      </c>
      <c r="B13054" s="1" t="n">
        <v>45790</v>
      </c>
      <c r="C13054" s="1" t="n">
        <v>45793</v>
      </c>
      <c r="D13054" t="inlineStr">
        <is>
          <t>JÖNKÖPINGS LÄN</t>
        </is>
      </c>
      <c r="E13054" t="inlineStr">
        <is>
          <t>EKSJÖ</t>
        </is>
      </c>
      <c r="G13054" t="n">
        <v>0.3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23073-2025</t>
        </is>
      </c>
      <c r="B13055" s="1" t="n">
        <v>45790</v>
      </c>
      <c r="C13055" s="1" t="n">
        <v>45793</v>
      </c>
      <c r="D13055" t="inlineStr">
        <is>
          <t>JÖNKÖPINGS LÄN</t>
        </is>
      </c>
      <c r="E13055" t="inlineStr">
        <is>
          <t>VAGGERYD</t>
        </is>
      </c>
      <c r="F13055" t="inlineStr">
        <is>
          <t>Sveaskog</t>
        </is>
      </c>
      <c r="G13055" t="n">
        <v>0.8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22842-2025</t>
        </is>
      </c>
      <c r="B13056" s="1" t="n">
        <v>45790</v>
      </c>
      <c r="C13056" s="1" t="n">
        <v>45793</v>
      </c>
      <c r="D13056" t="inlineStr">
        <is>
          <t>JÖNKÖPINGS LÄN</t>
        </is>
      </c>
      <c r="E13056" t="inlineStr">
        <is>
          <t>HABO</t>
        </is>
      </c>
      <c r="G13056" t="n">
        <v>1.3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23071-2025</t>
        </is>
      </c>
      <c r="B13057" s="1" t="n">
        <v>45790</v>
      </c>
      <c r="C13057" s="1" t="n">
        <v>45793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23003-2025</t>
        </is>
      </c>
      <c r="B13058" s="1" t="n">
        <v>45790</v>
      </c>
      <c r="C13058" s="1" t="n">
        <v>45793</v>
      </c>
      <c r="D13058" t="inlineStr">
        <is>
          <t>JÖNKÖPINGS LÄN</t>
        </is>
      </c>
      <c r="E13058" t="inlineStr">
        <is>
          <t>VAGGERYD</t>
        </is>
      </c>
      <c r="G13058" t="n">
        <v>4.4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22878-2025</t>
        </is>
      </c>
      <c r="B13059" s="1" t="n">
        <v>45790</v>
      </c>
      <c r="C13059" s="1" t="n">
        <v>45793</v>
      </c>
      <c r="D13059" t="inlineStr">
        <is>
          <t>JÖNKÖPINGS LÄN</t>
        </is>
      </c>
      <c r="E13059" t="inlineStr">
        <is>
          <t>GISLAVED</t>
        </is>
      </c>
      <c r="G13059" t="n">
        <v>3.2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23063-2025</t>
        </is>
      </c>
      <c r="B13060" s="1" t="n">
        <v>45790</v>
      </c>
      <c r="C13060" s="1" t="n">
        <v>45793</v>
      </c>
      <c r="D13060" t="inlineStr">
        <is>
          <t>JÖNKÖPINGS LÄN</t>
        </is>
      </c>
      <c r="E13060" t="inlineStr">
        <is>
          <t>JÖNKÖPING</t>
        </is>
      </c>
      <c r="G13060" t="n">
        <v>1.4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22868-2025</t>
        </is>
      </c>
      <c r="B13061" s="1" t="n">
        <v>45790</v>
      </c>
      <c r="C13061" s="1" t="n">
        <v>45793</v>
      </c>
      <c r="D13061" t="inlineStr">
        <is>
          <t>JÖNKÖPINGS LÄN</t>
        </is>
      </c>
      <c r="E13061" t="inlineStr">
        <is>
          <t>GISLAVED</t>
        </is>
      </c>
      <c r="G13061" t="n">
        <v>1.7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22870-2025</t>
        </is>
      </c>
      <c r="B13062" s="1" t="n">
        <v>45790</v>
      </c>
      <c r="C13062" s="1" t="n">
        <v>45793</v>
      </c>
      <c r="D13062" t="inlineStr">
        <is>
          <t>JÖNKÖPINGS LÄN</t>
        </is>
      </c>
      <c r="E13062" t="inlineStr">
        <is>
          <t>GISLAVED</t>
        </is>
      </c>
      <c r="G13062" t="n">
        <v>6.4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22983-2025</t>
        </is>
      </c>
      <c r="B13063" s="1" t="n">
        <v>45790</v>
      </c>
      <c r="C13063" s="1" t="n">
        <v>45793</v>
      </c>
      <c r="D13063" t="inlineStr">
        <is>
          <t>JÖNKÖPINGS LÄN</t>
        </is>
      </c>
      <c r="E13063" t="inlineStr">
        <is>
          <t>VAGGERYD</t>
        </is>
      </c>
      <c r="G13063" t="n">
        <v>0.7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45793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45793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45793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45793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23070-2025</t>
        </is>
      </c>
      <c r="B13068" s="1" t="n">
        <v>45790</v>
      </c>
      <c r="C13068" s="1" t="n">
        <v>45793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1.7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23075-2025</t>
        </is>
      </c>
      <c r="B13069" s="1" t="n">
        <v>45790</v>
      </c>
      <c r="C13069" s="1" t="n">
        <v>45793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4.6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23382-2025</t>
        </is>
      </c>
      <c r="B13070" s="1" t="n">
        <v>45791</v>
      </c>
      <c r="C13070" s="1" t="n">
        <v>45793</v>
      </c>
      <c r="D13070" t="inlineStr">
        <is>
          <t>JÖNKÖPINGS LÄN</t>
        </is>
      </c>
      <c r="E13070" t="inlineStr">
        <is>
          <t>NÄSSJÖ</t>
        </is>
      </c>
      <c r="G13070" t="n">
        <v>3.5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23293-2025</t>
        </is>
      </c>
      <c r="B13071" s="1" t="n">
        <v>45791</v>
      </c>
      <c r="C13071" s="1" t="n">
        <v>45793</v>
      </c>
      <c r="D13071" t="inlineStr">
        <is>
          <t>JÖNKÖPINGS LÄN</t>
        </is>
      </c>
      <c r="E13071" t="inlineStr">
        <is>
          <t>EKSJÖ</t>
        </is>
      </c>
      <c r="G13071" t="n">
        <v>3.7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23306-2025</t>
        </is>
      </c>
      <c r="B13072" s="1" t="n">
        <v>45791</v>
      </c>
      <c r="C13072" s="1" t="n">
        <v>45793</v>
      </c>
      <c r="D13072" t="inlineStr">
        <is>
          <t>JÖNKÖPINGS LÄN</t>
        </is>
      </c>
      <c r="E13072" t="inlineStr">
        <is>
          <t>VETLANDA</t>
        </is>
      </c>
      <c r="G13072" t="n">
        <v>4.4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23138-2025</t>
        </is>
      </c>
      <c r="B13073" s="1" t="n">
        <v>45791</v>
      </c>
      <c r="C13073" s="1" t="n">
        <v>45793</v>
      </c>
      <c r="D13073" t="inlineStr">
        <is>
          <t>JÖNKÖPINGS LÄN</t>
        </is>
      </c>
      <c r="E13073" t="inlineStr">
        <is>
          <t>SÄVSJÖ</t>
        </is>
      </c>
      <c r="G13073" t="n">
        <v>1.1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23151-2025</t>
        </is>
      </c>
      <c r="B13074" s="1" t="n">
        <v>45791</v>
      </c>
      <c r="C13074" s="1" t="n">
        <v>45793</v>
      </c>
      <c r="D13074" t="inlineStr">
        <is>
          <t>JÖNKÖPINGS LÄN</t>
        </is>
      </c>
      <c r="E13074" t="inlineStr">
        <is>
          <t>SÄVSJÖ</t>
        </is>
      </c>
      <c r="G13074" t="n">
        <v>0.6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23379-2025</t>
        </is>
      </c>
      <c r="B13075" s="1" t="n">
        <v>45791</v>
      </c>
      <c r="C13075" s="1" t="n">
        <v>45793</v>
      </c>
      <c r="D13075" t="inlineStr">
        <is>
          <t>JÖNKÖPINGS LÄN</t>
        </is>
      </c>
      <c r="E13075" t="inlineStr">
        <is>
          <t>NÄSSJÖ</t>
        </is>
      </c>
      <c r="G13075" t="n">
        <v>1.4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23142-2025</t>
        </is>
      </c>
      <c r="B13076" s="1" t="n">
        <v>45791</v>
      </c>
      <c r="C13076" s="1" t="n">
        <v>45793</v>
      </c>
      <c r="D13076" t="inlineStr">
        <is>
          <t>JÖNKÖPINGS LÄN</t>
        </is>
      </c>
      <c r="E13076" t="inlineStr">
        <is>
          <t>SÄVSJÖ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23384-2025</t>
        </is>
      </c>
      <c r="B13077" s="1" t="n">
        <v>45791</v>
      </c>
      <c r="C13077" s="1" t="n">
        <v>45793</v>
      </c>
      <c r="D13077" t="inlineStr">
        <is>
          <t>JÖNKÖPINGS LÄN</t>
        </is>
      </c>
      <c r="E13077" t="inlineStr">
        <is>
          <t>NÄSSJÖ</t>
        </is>
      </c>
      <c r="G13077" t="n">
        <v>3.2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23385-2025</t>
        </is>
      </c>
      <c r="B13078" s="1" t="n">
        <v>45791</v>
      </c>
      <c r="C13078" s="1" t="n">
        <v>45793</v>
      </c>
      <c r="D13078" t="inlineStr">
        <is>
          <t>JÖNKÖPINGS LÄN</t>
        </is>
      </c>
      <c r="E13078" t="inlineStr">
        <is>
          <t>NÄSSJÖ</t>
        </is>
      </c>
      <c r="G13078" t="n">
        <v>1.4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23387-2025</t>
        </is>
      </c>
      <c r="B13079" s="1" t="n">
        <v>45791</v>
      </c>
      <c r="C13079" s="1" t="n">
        <v>45793</v>
      </c>
      <c r="D13079" t="inlineStr">
        <is>
          <t>JÖNKÖPINGS LÄN</t>
        </is>
      </c>
      <c r="E13079" t="inlineStr">
        <is>
          <t>EKSJÖ</t>
        </is>
      </c>
      <c r="G13079" t="n">
        <v>0.5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23376-2025</t>
        </is>
      </c>
      <c r="B13080" s="1" t="n">
        <v>45791</v>
      </c>
      <c r="C13080" s="1" t="n">
        <v>45793</v>
      </c>
      <c r="D13080" t="inlineStr">
        <is>
          <t>JÖNKÖPINGS LÄN</t>
        </is>
      </c>
      <c r="E13080" t="inlineStr">
        <is>
          <t>NÄSSJÖ</t>
        </is>
      </c>
      <c r="G13080" t="n">
        <v>1.8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23377-2025</t>
        </is>
      </c>
      <c r="B13081" s="1" t="n">
        <v>45791</v>
      </c>
      <c r="C13081" s="1" t="n">
        <v>45793</v>
      </c>
      <c r="D13081" t="inlineStr">
        <is>
          <t>JÖNKÖPINGS LÄN</t>
        </is>
      </c>
      <c r="E13081" t="inlineStr">
        <is>
          <t>NÄSSJÖ</t>
        </is>
      </c>
      <c r="G13081" t="n">
        <v>1.2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23378-2025</t>
        </is>
      </c>
      <c r="B13082" s="1" t="n">
        <v>45791</v>
      </c>
      <c r="C13082" s="1" t="n">
        <v>45793</v>
      </c>
      <c r="D13082" t="inlineStr">
        <is>
          <t>JÖNKÖPINGS LÄN</t>
        </is>
      </c>
      <c r="E13082" t="inlineStr">
        <is>
          <t>NÄSSJÖ</t>
        </is>
      </c>
      <c r="G13082" t="n">
        <v>0.5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45793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23381-2025</t>
        </is>
      </c>
      <c r="B13084" s="1" t="n">
        <v>45791</v>
      </c>
      <c r="C13084" s="1" t="n">
        <v>45793</v>
      </c>
      <c r="D13084" t="inlineStr">
        <is>
          <t>JÖNKÖPINGS LÄN</t>
        </is>
      </c>
      <c r="E13084" t="inlineStr">
        <is>
          <t>NÄSSJÖ</t>
        </is>
      </c>
      <c r="G13084" t="n">
        <v>3.2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23386-2025</t>
        </is>
      </c>
      <c r="B13085" s="1" t="n">
        <v>45791</v>
      </c>
      <c r="C13085" s="1" t="n">
        <v>45793</v>
      </c>
      <c r="D13085" t="inlineStr">
        <is>
          <t>JÖNKÖPINGS LÄN</t>
        </is>
      </c>
      <c r="E13085" t="inlineStr">
        <is>
          <t>EKSJÖ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23389-2025</t>
        </is>
      </c>
      <c r="B13086" s="1" t="n">
        <v>45791</v>
      </c>
      <c r="C13086" s="1" t="n">
        <v>45793</v>
      </c>
      <c r="D13086" t="inlineStr">
        <is>
          <t>JÖNKÖPINGS LÄN</t>
        </is>
      </c>
      <c r="E13086" t="inlineStr">
        <is>
          <t>JÖNKÖPING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23396-2025</t>
        </is>
      </c>
      <c r="B13087" s="1" t="n">
        <v>45791</v>
      </c>
      <c r="C13087" s="1" t="n">
        <v>45793</v>
      </c>
      <c r="D13087" t="inlineStr">
        <is>
          <t>JÖNKÖPINGS LÄN</t>
        </is>
      </c>
      <c r="E13087" t="inlineStr">
        <is>
          <t>SÄVSJÖ</t>
        </is>
      </c>
      <c r="G13087" t="n">
        <v>0.9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23388-2025</t>
        </is>
      </c>
      <c r="B13088" s="1" t="n">
        <v>45791</v>
      </c>
      <c r="C13088" s="1" t="n">
        <v>45793</v>
      </c>
      <c r="D13088" t="inlineStr">
        <is>
          <t>JÖNKÖPINGS LÄN</t>
        </is>
      </c>
      <c r="E13088" t="inlineStr">
        <is>
          <t>NÄSSJÖ</t>
        </is>
      </c>
      <c r="G13088" t="n">
        <v>10.4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23270-2025</t>
        </is>
      </c>
      <c r="B13089" s="1" t="n">
        <v>45791</v>
      </c>
      <c r="C13089" s="1" t="n">
        <v>45793</v>
      </c>
      <c r="D13089" t="inlineStr">
        <is>
          <t>JÖNKÖPINGS LÄN</t>
        </is>
      </c>
      <c r="E13089" t="inlineStr">
        <is>
          <t>VAGGERYD</t>
        </is>
      </c>
      <c r="G13089" t="n">
        <v>0.3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23113-2025</t>
        </is>
      </c>
      <c r="B13090" s="1" t="n">
        <v>45791</v>
      </c>
      <c r="C13090" s="1" t="n">
        <v>45793</v>
      </c>
      <c r="D13090" t="inlineStr">
        <is>
          <t>JÖNKÖPINGS LÄN</t>
        </is>
      </c>
      <c r="E13090" t="inlineStr">
        <is>
          <t>VETLANDA</t>
        </is>
      </c>
      <c r="G13090" t="n">
        <v>0.8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23330-2025</t>
        </is>
      </c>
      <c r="B13091" s="1" t="n">
        <v>45791</v>
      </c>
      <c r="C13091" s="1" t="n">
        <v>45793</v>
      </c>
      <c r="D13091" t="inlineStr">
        <is>
          <t>JÖNKÖPINGS LÄN</t>
        </is>
      </c>
      <c r="E13091" t="inlineStr">
        <is>
          <t>VETLANDA</t>
        </is>
      </c>
      <c r="G13091" t="n">
        <v>1.3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23402-2025</t>
        </is>
      </c>
      <c r="B13092" s="1" t="n">
        <v>45792</v>
      </c>
      <c r="C13092" s="1" t="n">
        <v>45793</v>
      </c>
      <c r="D13092" t="inlineStr">
        <is>
          <t>JÖNKÖPINGS LÄN</t>
        </is>
      </c>
      <c r="E13092" t="inlineStr">
        <is>
          <t>GISLAVED</t>
        </is>
      </c>
      <c r="G13092" t="n">
        <v>0.8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23540-2025</t>
        </is>
      </c>
      <c r="B13093" s="1" t="n">
        <v>45792</v>
      </c>
      <c r="C13093" s="1" t="n">
        <v>45793</v>
      </c>
      <c r="D13093" t="inlineStr">
        <is>
          <t>JÖNKÖPINGS LÄN</t>
        </is>
      </c>
      <c r="E13093" t="inlineStr">
        <is>
          <t>VETLANDA</t>
        </is>
      </c>
      <c r="G13093" t="n">
        <v>6.2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23430-2025</t>
        </is>
      </c>
      <c r="B13094" s="1" t="n">
        <v>45792</v>
      </c>
      <c r="C13094" s="1" t="n">
        <v>45793</v>
      </c>
      <c r="D13094" t="inlineStr">
        <is>
          <t>JÖNKÖPINGS LÄN</t>
        </is>
      </c>
      <c r="E13094" t="inlineStr">
        <is>
          <t>VAGGERYD</t>
        </is>
      </c>
      <c r="G13094" t="n">
        <v>4.9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23581-2025</t>
        </is>
      </c>
      <c r="B13095" s="1" t="n">
        <v>45792</v>
      </c>
      <c r="C13095" s="1" t="n">
        <v>45793</v>
      </c>
      <c r="D13095" t="inlineStr">
        <is>
          <t>JÖNKÖPINGS LÄN</t>
        </is>
      </c>
      <c r="E13095" t="inlineStr">
        <is>
          <t>VETLANDA</t>
        </is>
      </c>
      <c r="G13095" t="n">
        <v>1.3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23408-2025</t>
        </is>
      </c>
      <c r="B13096" s="1" t="n">
        <v>45792</v>
      </c>
      <c r="C13096" s="1" t="n">
        <v>45793</v>
      </c>
      <c r="D13096" t="inlineStr">
        <is>
          <t>JÖNKÖPINGS LÄN</t>
        </is>
      </c>
      <c r="E13096" t="inlineStr">
        <is>
          <t>GISLAVED</t>
        </is>
      </c>
      <c r="G13096" t="n">
        <v>1.3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23660-2025</t>
        </is>
      </c>
      <c r="B13097" s="1" t="n">
        <v>45792</v>
      </c>
      <c r="C13097" s="1" t="n">
        <v>45793</v>
      </c>
      <c r="D13097" t="inlineStr">
        <is>
          <t>JÖNKÖPINGS LÄN</t>
        </is>
      </c>
      <c r="E13097" t="inlineStr">
        <is>
          <t>GISLAVED</t>
        </is>
      </c>
      <c r="G13097" t="n">
        <v>0.7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23598-2025</t>
        </is>
      </c>
      <c r="B13098" s="1" t="n">
        <v>45792</v>
      </c>
      <c r="C13098" s="1" t="n">
        <v>45793</v>
      </c>
      <c r="D13098" t="inlineStr">
        <is>
          <t>JÖNKÖPINGS LÄN</t>
        </is>
      </c>
      <c r="E13098" t="inlineStr">
        <is>
          <t>ANEBY</t>
        </is>
      </c>
      <c r="G13098" t="n">
        <v>1.9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45793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23665-2025</t>
        </is>
      </c>
      <c r="B13100" s="1" t="n">
        <v>45792</v>
      </c>
      <c r="C13100" s="1" t="n">
        <v>45793</v>
      </c>
      <c r="D13100" t="inlineStr">
        <is>
          <t>JÖNKÖPINGS LÄN</t>
        </is>
      </c>
      <c r="E13100" t="inlineStr">
        <is>
          <t>SÄVSJÖ</t>
        </is>
      </c>
      <c r="G13100" t="n">
        <v>1.6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23403-2025</t>
        </is>
      </c>
      <c r="B13101" s="1" t="n">
        <v>45792</v>
      </c>
      <c r="C13101" s="1" t="n">
        <v>45793</v>
      </c>
      <c r="D13101" t="inlineStr">
        <is>
          <t>JÖNKÖPINGS LÄN</t>
        </is>
      </c>
      <c r="E13101" t="inlineStr">
        <is>
          <t>GISLAVED</t>
        </is>
      </c>
      <c r="G13101" t="n">
        <v>1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>
      <c r="A13102" t="inlineStr">
        <is>
          <t>A 23671-2025</t>
        </is>
      </c>
      <c r="B13102" s="1" t="n">
        <v>45793</v>
      </c>
      <c r="C13102" s="1" t="n">
        <v>45793</v>
      </c>
      <c r="D13102" t="inlineStr">
        <is>
          <t>JÖNKÖPINGS LÄN</t>
        </is>
      </c>
      <c r="E13102" t="inlineStr">
        <is>
          <t>VÄRNAMO</t>
        </is>
      </c>
      <c r="G13102" t="n">
        <v>0.6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2025-05-16T17:48:21Z</dcterms:created>
  <dcterms:modified xmlns:dcterms="http://purl.org/dc/terms/" xmlns:xsi="http://www.w3.org/2001/XMLSchema-instance" xsi:type="dcterms:W3CDTF">2025-05-16T17:48:32Z</dcterms:modified>
</cp:coreProperties>
</file>