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45716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45716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45716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45716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45716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45716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45716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45716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45716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45716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45716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45716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45716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45716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45716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45716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45716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45716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45716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45716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45716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45716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45716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45716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45716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45716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45716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45716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45716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45716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45716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45716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45716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45716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45716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45716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45716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45716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45716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45716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45716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45716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45716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45716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45716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45716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45716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45716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45716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45716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45716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45716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45716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45716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45716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45716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45716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45716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45716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45716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45716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45716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45716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45716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45716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45716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45716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45716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45716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45716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45716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45716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45716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45716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45716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45716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45716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45716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45716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45716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45716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45716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45716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45716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45716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45716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45716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45716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45716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45716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45716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45716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45716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45716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45716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45716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45716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45716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45716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45716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45716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45716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45716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45716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45716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45716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45716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45716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45716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45716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45716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45716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45716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45716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45716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45716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45716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45716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45716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45716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45716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45716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45716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45716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45716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45716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45716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45716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45716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45716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45716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45716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45716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45716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45716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45716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45716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45716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45716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45716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45716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45716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45716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45716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45716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45716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45716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45716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45716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45716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45716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45716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45716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45716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45716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45716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45716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45716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45716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45716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45716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45716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45716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45716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45716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45716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45716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45716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45716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45716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45716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45716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45716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45716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45716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45716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45716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45716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45716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45716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45716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45716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45716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45716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45716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45716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45716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45716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45716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8838-2025</t>
        </is>
      </c>
      <c r="B211" s="1" t="n">
        <v>45713</v>
      </c>
      <c r="C211" s="1" t="n">
        <v>45716</v>
      </c>
      <c r="D211" t="inlineStr">
        <is>
          <t>JÖNKÖPINGS LÄN</t>
        </is>
      </c>
      <c r="E211" t="inlineStr">
        <is>
          <t>VETLANDA</t>
        </is>
      </c>
      <c r="G211" t="n">
        <v>1.8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Brunlångöra
Nordfladdermus</t>
        </is>
      </c>
      <c r="S211">
        <f>HYPERLINK("https://klasma.github.io/Logging_0685/artfynd/A 8838-2025 artfynd.xlsx", "A 8838-2025")</f>
        <v/>
      </c>
      <c r="T211">
        <f>HYPERLINK("https://klasma.github.io/Logging_0685/kartor/A 8838-2025 karta.png", "A 8838-2025")</f>
        <v/>
      </c>
      <c r="V211">
        <f>HYPERLINK("https://klasma.github.io/Logging_0685/klagomål/A 8838-2025 FSC-klagomål.docx", "A 8838-2025")</f>
        <v/>
      </c>
      <c r="W211">
        <f>HYPERLINK("https://klasma.github.io/Logging_0685/klagomålsmail/A 8838-2025 FSC-klagomål mail.docx", "A 8838-2025")</f>
        <v/>
      </c>
      <c r="X211">
        <f>HYPERLINK("https://klasma.github.io/Logging_0685/tillsyn/A 8838-2025 tillsynsbegäran.docx", "A 8838-2025")</f>
        <v/>
      </c>
      <c r="Y211">
        <f>HYPERLINK("https://klasma.github.io/Logging_0685/tillsynsmail/A 8838-2025 tillsynsbegäran mail.docx", "A 8838-2025")</f>
        <v/>
      </c>
    </row>
    <row r="212" ht="15" customHeight="1">
      <c r="A212" t="inlineStr">
        <is>
          <t>A 20003-2019</t>
        </is>
      </c>
      <c r="B212" s="1" t="n">
        <v>43570</v>
      </c>
      <c r="C212" s="1" t="n">
        <v>45716</v>
      </c>
      <c r="D212" t="inlineStr">
        <is>
          <t>JÖNKÖPINGS LÄN</t>
        </is>
      </c>
      <c r="E212" t="inlineStr">
        <is>
          <t>VÄRNAMO</t>
        </is>
      </c>
      <c r="G212" t="n">
        <v>4.7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Skogsödla</t>
        </is>
      </c>
      <c r="S212">
        <f>HYPERLINK("https://klasma.github.io/Logging_0683/artfynd/A 20003-2019 artfynd.xlsx", "A 20003-2019")</f>
        <v/>
      </c>
      <c r="T212">
        <f>HYPERLINK("https://klasma.github.io/Logging_0683/kartor/A 20003-2019 karta.png", "A 20003-2019")</f>
        <v/>
      </c>
      <c r="V212">
        <f>HYPERLINK("https://klasma.github.io/Logging_0683/klagomål/A 20003-2019 FSC-klagomål.docx", "A 20003-2019")</f>
        <v/>
      </c>
      <c r="W212">
        <f>HYPERLINK("https://klasma.github.io/Logging_0683/klagomålsmail/A 20003-2019 FSC-klagomål mail.docx", "A 20003-2019")</f>
        <v/>
      </c>
      <c r="X212">
        <f>HYPERLINK("https://klasma.github.io/Logging_0683/tillsyn/A 20003-2019 tillsynsbegäran.docx", "A 20003-2019")</f>
        <v/>
      </c>
      <c r="Y212">
        <f>HYPERLINK("https://klasma.github.io/Logging_0683/tillsynsmail/A 20003-2019 tillsynsbegäran mail.docx", "A 20003-2019")</f>
        <v/>
      </c>
    </row>
    <row r="213" ht="15" customHeight="1">
      <c r="A213" t="inlineStr">
        <is>
          <t>A 20306-2019</t>
        </is>
      </c>
      <c r="B213" s="1" t="n">
        <v>43571</v>
      </c>
      <c r="C213" s="1" t="n">
        <v>45716</v>
      </c>
      <c r="D213" t="inlineStr">
        <is>
          <t>JÖNKÖPINGS LÄN</t>
        </is>
      </c>
      <c r="E213" t="inlineStr">
        <is>
          <t>VETLANDA</t>
        </is>
      </c>
      <c r="G213" t="n">
        <v>8.800000000000001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Orange taggsvamp</t>
        </is>
      </c>
      <c r="S213">
        <f>HYPERLINK("https://klasma.github.io/Logging_0685/artfynd/A 20306-2019 artfynd.xlsx", "A 20306-2019")</f>
        <v/>
      </c>
      <c r="T213">
        <f>HYPERLINK("https://klasma.github.io/Logging_0685/kartor/A 20306-2019 karta.png", "A 20306-2019")</f>
        <v/>
      </c>
      <c r="V213">
        <f>HYPERLINK("https://klasma.github.io/Logging_0685/klagomål/A 20306-2019 FSC-klagomål.docx", "A 20306-2019")</f>
        <v/>
      </c>
      <c r="W213">
        <f>HYPERLINK("https://klasma.github.io/Logging_0685/klagomålsmail/A 20306-2019 FSC-klagomål mail.docx", "A 20306-2019")</f>
        <v/>
      </c>
      <c r="X213">
        <f>HYPERLINK("https://klasma.github.io/Logging_0685/tillsyn/A 20306-2019 tillsynsbegäran.docx", "A 20306-2019")</f>
        <v/>
      </c>
      <c r="Y213">
        <f>HYPERLINK("https://klasma.github.io/Logging_0685/tillsynsmail/A 20306-2019 tillsynsbegäran mail.docx", "A 20306-2019")</f>
        <v/>
      </c>
    </row>
    <row r="214" ht="15" customHeight="1">
      <c r="A214" t="inlineStr">
        <is>
          <t>A 20308-2019</t>
        </is>
      </c>
      <c r="B214" s="1" t="n">
        <v>43571</v>
      </c>
      <c r="C214" s="1" t="n">
        <v>45716</v>
      </c>
      <c r="D214" t="inlineStr">
        <is>
          <t>JÖNKÖPINGS LÄN</t>
        </is>
      </c>
      <c r="E214" t="inlineStr">
        <is>
          <t>VETLANDA</t>
        </is>
      </c>
      <c r="G214" t="n">
        <v>7.1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20308-2019 artfynd.xlsx", "A 20308-2019")</f>
        <v/>
      </c>
      <c r="T214">
        <f>HYPERLINK("https://klasma.github.io/Logging_0685/kartor/A 20308-2019 karta.png", "A 20308-2019")</f>
        <v/>
      </c>
      <c r="U214">
        <f>HYPERLINK("https://klasma.github.io/Logging_0685/knärot/A 20308-2019 karta knärot.png", "A 20308-2019")</f>
        <v/>
      </c>
      <c r="V214">
        <f>HYPERLINK("https://klasma.github.io/Logging_0685/klagomål/A 20308-2019 FSC-klagomål.docx", "A 20308-2019")</f>
        <v/>
      </c>
      <c r="W214">
        <f>HYPERLINK("https://klasma.github.io/Logging_0685/klagomålsmail/A 20308-2019 FSC-klagomål mail.docx", "A 20308-2019")</f>
        <v/>
      </c>
      <c r="X214">
        <f>HYPERLINK("https://klasma.github.io/Logging_0685/tillsyn/A 20308-2019 tillsynsbegäran.docx", "A 20308-2019")</f>
        <v/>
      </c>
      <c r="Y214">
        <f>HYPERLINK("https://klasma.github.io/Logging_0685/tillsynsmail/A 20308-2019 tillsynsbegäran mail.docx", "A 20308-2019")</f>
        <v/>
      </c>
    </row>
    <row r="215" ht="15" customHeight="1">
      <c r="A215" t="inlineStr">
        <is>
          <t>A 22477-2019</t>
        </is>
      </c>
      <c r="B215" s="1" t="n">
        <v>43587</v>
      </c>
      <c r="C215" s="1" t="n">
        <v>45716</v>
      </c>
      <c r="D215" t="inlineStr">
        <is>
          <t>JÖNKÖPINGS LÄN</t>
        </is>
      </c>
      <c r="E215" t="inlineStr">
        <is>
          <t>TRANÅS</t>
        </is>
      </c>
      <c r="F215" t="inlineStr">
        <is>
          <t>Kyrkan</t>
        </is>
      </c>
      <c r="G215" t="n">
        <v>5.5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HYPERLINK("https://klasma.github.io/Logging_0687/artfynd/A 22477-2019 artfynd.xlsx", "A 22477-2019")</f>
        <v/>
      </c>
      <c r="T215">
        <f>HYPERLINK("https://klasma.github.io/Logging_0687/kartor/A 22477-2019 karta.png", "A 22477-2019")</f>
        <v/>
      </c>
      <c r="V215">
        <f>HYPERLINK("https://klasma.github.io/Logging_0687/klagomål/A 22477-2019 FSC-klagomål.docx", "A 22477-2019")</f>
        <v/>
      </c>
      <c r="W215">
        <f>HYPERLINK("https://klasma.github.io/Logging_0687/klagomålsmail/A 22477-2019 FSC-klagomål mail.docx", "A 22477-2019")</f>
        <v/>
      </c>
      <c r="X215">
        <f>HYPERLINK("https://klasma.github.io/Logging_0687/tillsyn/A 22477-2019 tillsynsbegäran.docx", "A 22477-2019")</f>
        <v/>
      </c>
      <c r="Y215">
        <f>HYPERLINK("https://klasma.github.io/Logging_0687/tillsynsmail/A 22477-2019 tillsynsbegäran mail.docx", "A 22477-2019")</f>
        <v/>
      </c>
    </row>
    <row r="216" ht="15" customHeight="1">
      <c r="A216" t="inlineStr">
        <is>
          <t>A 23988-2019</t>
        </is>
      </c>
      <c r="B216" s="1" t="n">
        <v>43595</v>
      </c>
      <c r="C216" s="1" t="n">
        <v>45716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Strutbräken</t>
        </is>
      </c>
      <c r="S216">
        <f>HYPERLINK("https://klasma.github.io/Logging_0685/artfynd/A 23988-2019 artfynd.xlsx", "A 23988-2019")</f>
        <v/>
      </c>
      <c r="T216">
        <f>HYPERLINK("https://klasma.github.io/Logging_0685/kartor/A 23988-2019 karta.png", "A 23988-2019")</f>
        <v/>
      </c>
      <c r="V216">
        <f>HYPERLINK("https://klasma.github.io/Logging_0685/klagomål/A 23988-2019 FSC-klagomål.docx", "A 23988-2019")</f>
        <v/>
      </c>
      <c r="W216">
        <f>HYPERLINK("https://klasma.github.io/Logging_0685/klagomålsmail/A 23988-2019 FSC-klagomål mail.docx", "A 23988-2019")</f>
        <v/>
      </c>
      <c r="X216">
        <f>HYPERLINK("https://klasma.github.io/Logging_0685/tillsyn/A 23988-2019 tillsynsbegäran.docx", "A 23988-2019")</f>
        <v/>
      </c>
      <c r="Y216">
        <f>HYPERLINK("https://klasma.github.io/Logging_0685/tillsynsmail/A 23988-2019 tillsynsbegäran mail.docx", "A 23988-2019")</f>
        <v/>
      </c>
    </row>
    <row r="217" ht="15" customHeight="1">
      <c r="A217" t="inlineStr">
        <is>
          <t>A 25880-2019</t>
        </is>
      </c>
      <c r="B217" s="1" t="n">
        <v>43605</v>
      </c>
      <c r="C217" s="1" t="n">
        <v>45716</v>
      </c>
      <c r="D217" t="inlineStr">
        <is>
          <t>JÖNKÖPINGS LÄN</t>
        </is>
      </c>
      <c r="E217" t="inlineStr">
        <is>
          <t>VETLANDA</t>
        </is>
      </c>
      <c r="F217" t="inlineStr">
        <is>
          <t>Kommuner</t>
        </is>
      </c>
      <c r="G217" t="n">
        <v>4.8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25880-2019 artfynd.xlsx", "A 25880-2019")</f>
        <v/>
      </c>
      <c r="T217">
        <f>HYPERLINK("https://klasma.github.io/Logging_0685/kartor/A 25880-2019 karta.png", "A 25880-2019")</f>
        <v/>
      </c>
      <c r="U217">
        <f>HYPERLINK("https://klasma.github.io/Logging_0685/knärot/A 25880-2019 karta knärot.png", "A 25880-2019")</f>
        <v/>
      </c>
      <c r="V217">
        <f>HYPERLINK("https://klasma.github.io/Logging_0685/klagomål/A 25880-2019 FSC-klagomål.docx", "A 25880-2019")</f>
        <v/>
      </c>
      <c r="W217">
        <f>HYPERLINK("https://klasma.github.io/Logging_0685/klagomålsmail/A 25880-2019 FSC-klagomål mail.docx", "A 25880-2019")</f>
        <v/>
      </c>
      <c r="X217">
        <f>HYPERLINK("https://klasma.github.io/Logging_0685/tillsyn/A 25880-2019 tillsynsbegäran.docx", "A 25880-2019")</f>
        <v/>
      </c>
      <c r="Y217">
        <f>HYPERLINK("https://klasma.github.io/Logging_0685/tillsynsmail/A 25880-2019 tillsynsbegäran mail.docx", "A 25880-2019")</f>
        <v/>
      </c>
    </row>
    <row r="218" ht="15" customHeight="1">
      <c r="A218" t="inlineStr">
        <is>
          <t>A 25827-2019</t>
        </is>
      </c>
      <c r="B218" s="1" t="n">
        <v>43608</v>
      </c>
      <c r="C218" s="1" t="n">
        <v>45716</v>
      </c>
      <c r="D218" t="inlineStr">
        <is>
          <t>JÖNKÖPINGS LÄN</t>
        </is>
      </c>
      <c r="E218" t="inlineStr">
        <is>
          <t>NÄSSJÖ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Åkerrättika</t>
        </is>
      </c>
      <c r="S218">
        <f>HYPERLINK("https://klasma.github.io/Logging_0682/artfynd/A 25827-2019 artfynd.xlsx", "A 25827-2019")</f>
        <v/>
      </c>
      <c r="T218">
        <f>HYPERLINK("https://klasma.github.io/Logging_0682/kartor/A 25827-2019 karta.png", "A 25827-2019")</f>
        <v/>
      </c>
      <c r="V218">
        <f>HYPERLINK("https://klasma.github.io/Logging_0682/klagomål/A 25827-2019 FSC-klagomål.docx", "A 25827-2019")</f>
        <v/>
      </c>
      <c r="W218">
        <f>HYPERLINK("https://klasma.github.io/Logging_0682/klagomålsmail/A 25827-2019 FSC-klagomål mail.docx", "A 25827-2019")</f>
        <v/>
      </c>
      <c r="X218">
        <f>HYPERLINK("https://klasma.github.io/Logging_0682/tillsyn/A 25827-2019 tillsynsbegäran.docx", "A 25827-2019")</f>
        <v/>
      </c>
      <c r="Y218">
        <f>HYPERLINK("https://klasma.github.io/Logging_0682/tillsynsmail/A 25827-2019 tillsynsbegäran mail.docx", "A 25827-2019")</f>
        <v/>
      </c>
    </row>
    <row r="219" ht="15" customHeight="1">
      <c r="A219" t="inlineStr">
        <is>
          <t>A 26905-2019</t>
        </is>
      </c>
      <c r="B219" s="1" t="n">
        <v>43609</v>
      </c>
      <c r="C219" s="1" t="n">
        <v>45716</v>
      </c>
      <c r="D219" t="inlineStr">
        <is>
          <t>JÖNKÖPINGS LÄN</t>
        </is>
      </c>
      <c r="E219" t="inlineStr">
        <is>
          <t>JÖNKÖPING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Kustdaggkåpa</t>
        </is>
      </c>
      <c r="S219">
        <f>HYPERLINK("https://klasma.github.io/Logging_0680/artfynd/A 26905-2019 artfynd.xlsx", "A 26905-2019")</f>
        <v/>
      </c>
      <c r="T219">
        <f>HYPERLINK("https://klasma.github.io/Logging_0680/kartor/A 26905-2019 karta.png", "A 26905-2019")</f>
        <v/>
      </c>
      <c r="V219">
        <f>HYPERLINK("https://klasma.github.io/Logging_0680/klagomål/A 26905-2019 FSC-klagomål.docx", "A 26905-2019")</f>
        <v/>
      </c>
      <c r="W219">
        <f>HYPERLINK("https://klasma.github.io/Logging_0680/klagomålsmail/A 26905-2019 FSC-klagomål mail.docx", "A 26905-2019")</f>
        <v/>
      </c>
      <c r="X219">
        <f>HYPERLINK("https://klasma.github.io/Logging_0680/tillsyn/A 26905-2019 tillsynsbegäran.docx", "A 26905-2019")</f>
        <v/>
      </c>
      <c r="Y219">
        <f>HYPERLINK("https://klasma.github.io/Logging_0680/tillsynsmail/A 26905-2019 tillsynsbegäran mail.docx", "A 26905-2019")</f>
        <v/>
      </c>
    </row>
    <row r="220" ht="15" customHeight="1">
      <c r="A220" t="inlineStr">
        <is>
          <t>A 26583-2019</t>
        </is>
      </c>
      <c r="B220" s="1" t="n">
        <v>43612</v>
      </c>
      <c r="C220" s="1" t="n">
        <v>45716</v>
      </c>
      <c r="D220" t="inlineStr">
        <is>
          <t>JÖNKÖPINGS LÄN</t>
        </is>
      </c>
      <c r="E220" t="inlineStr">
        <is>
          <t>ANEBY</t>
        </is>
      </c>
      <c r="G220" t="n">
        <v>5.8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HYPERLINK("https://klasma.github.io/Logging_0604/artfynd/A 26583-2019 artfynd.xlsx", "A 26583-2019")</f>
        <v/>
      </c>
      <c r="T220">
        <f>HYPERLINK("https://klasma.github.io/Logging_0604/kartor/A 26583-2019 karta.png", "A 26583-2019")</f>
        <v/>
      </c>
      <c r="V220">
        <f>HYPERLINK("https://klasma.github.io/Logging_0604/klagomål/A 26583-2019 FSC-klagomål.docx", "A 26583-2019")</f>
        <v/>
      </c>
      <c r="W220">
        <f>HYPERLINK("https://klasma.github.io/Logging_0604/klagomålsmail/A 26583-2019 FSC-klagomål mail.docx", "A 26583-2019")</f>
        <v/>
      </c>
      <c r="X220">
        <f>HYPERLINK("https://klasma.github.io/Logging_0604/tillsyn/A 26583-2019 tillsynsbegäran.docx", "A 26583-2019")</f>
        <v/>
      </c>
      <c r="Y220">
        <f>HYPERLINK("https://klasma.github.io/Logging_0604/tillsynsmail/A 26583-2019 tillsynsbegäran mail.docx", "A 26583-2019")</f>
        <v/>
      </c>
    </row>
    <row r="221" ht="15" customHeight="1">
      <c r="A221" t="inlineStr">
        <is>
          <t>A 26629-2019</t>
        </is>
      </c>
      <c r="B221" s="1" t="n">
        <v>43612</v>
      </c>
      <c r="C221" s="1" t="n">
        <v>45716</v>
      </c>
      <c r="D221" t="inlineStr">
        <is>
          <t>JÖNKÖPINGS LÄN</t>
        </is>
      </c>
      <c r="E221" t="inlineStr">
        <is>
          <t>TRANÅS</t>
        </is>
      </c>
      <c r="G221" t="n">
        <v>11.2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HYPERLINK("https://klasma.github.io/Logging_0687/artfynd/A 26629-2019 artfynd.xlsx", "A 26629-2019")</f>
        <v/>
      </c>
      <c r="T221">
        <f>HYPERLINK("https://klasma.github.io/Logging_0687/kartor/A 26629-2019 karta.png", "A 26629-2019")</f>
        <v/>
      </c>
      <c r="V221">
        <f>HYPERLINK("https://klasma.github.io/Logging_0687/klagomål/A 26629-2019 FSC-klagomål.docx", "A 26629-2019")</f>
        <v/>
      </c>
      <c r="W221">
        <f>HYPERLINK("https://klasma.github.io/Logging_0687/klagomålsmail/A 26629-2019 FSC-klagomål mail.docx", "A 26629-2019")</f>
        <v/>
      </c>
      <c r="X221">
        <f>HYPERLINK("https://klasma.github.io/Logging_0687/tillsyn/A 26629-2019 tillsynsbegäran.docx", "A 26629-2019")</f>
        <v/>
      </c>
      <c r="Y221">
        <f>HYPERLINK("https://klasma.github.io/Logging_0687/tillsynsmail/A 26629-2019 tillsynsbegäran mail.docx", "A 26629-2019")</f>
        <v/>
      </c>
    </row>
    <row r="222" ht="15" customHeight="1">
      <c r="A222" t="inlineStr">
        <is>
          <t>A 28694-2019</t>
        </is>
      </c>
      <c r="B222" s="1" t="n">
        <v>43614</v>
      </c>
      <c r="C222" s="1" t="n">
        <v>45716</v>
      </c>
      <c r="D222" t="inlineStr">
        <is>
          <t>JÖNKÖPINGS LÄN</t>
        </is>
      </c>
      <c r="E222" t="inlineStr">
        <is>
          <t>JÖNKÖPING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HYPERLINK("https://klasma.github.io/Logging_0680/artfynd/A 28694-2019 artfynd.xlsx", "A 28694-2019")</f>
        <v/>
      </c>
      <c r="T222">
        <f>HYPERLINK("https://klasma.github.io/Logging_0680/kartor/A 28694-2019 karta.png", "A 28694-2019")</f>
        <v/>
      </c>
      <c r="U222">
        <f>HYPERLINK("https://klasma.github.io/Logging_0680/knärot/A 28694-2019 karta knärot.png", "A 28694-2019")</f>
        <v/>
      </c>
      <c r="V222">
        <f>HYPERLINK("https://klasma.github.io/Logging_0680/klagomål/A 28694-2019 FSC-klagomål.docx", "A 28694-2019")</f>
        <v/>
      </c>
      <c r="W222">
        <f>HYPERLINK("https://klasma.github.io/Logging_0680/klagomålsmail/A 28694-2019 FSC-klagomål mail.docx", "A 28694-2019")</f>
        <v/>
      </c>
      <c r="X222">
        <f>HYPERLINK("https://klasma.github.io/Logging_0680/tillsyn/A 28694-2019 tillsynsbegäran.docx", "A 28694-2019")</f>
        <v/>
      </c>
      <c r="Y222">
        <f>HYPERLINK("https://klasma.github.io/Logging_0680/tillsynsmail/A 28694-2019 tillsynsbegäran mail.docx", "A 28694-2019")</f>
        <v/>
      </c>
    </row>
    <row r="223" ht="15" customHeight="1">
      <c r="A223" t="inlineStr">
        <is>
          <t>A 28682-2019</t>
        </is>
      </c>
      <c r="B223" s="1" t="n">
        <v>43627</v>
      </c>
      <c r="C223" s="1" t="n">
        <v>45716</v>
      </c>
      <c r="D223" t="inlineStr">
        <is>
          <t>JÖNKÖPINGS LÄN</t>
        </is>
      </c>
      <c r="E223" t="inlineStr">
        <is>
          <t>JÖNKÖPING</t>
        </is>
      </c>
      <c r="G223" t="n">
        <v>8.9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Grönvit nattviol</t>
        </is>
      </c>
      <c r="S223">
        <f>HYPERLINK("https://klasma.github.io/Logging_0680/artfynd/A 28682-2019 artfynd.xlsx", "A 28682-2019")</f>
        <v/>
      </c>
      <c r="T223">
        <f>HYPERLINK("https://klasma.github.io/Logging_0680/kartor/A 28682-2019 karta.png", "A 28682-2019")</f>
        <v/>
      </c>
      <c r="V223">
        <f>HYPERLINK("https://klasma.github.io/Logging_0680/klagomål/A 28682-2019 FSC-klagomål.docx", "A 28682-2019")</f>
        <v/>
      </c>
      <c r="W223">
        <f>HYPERLINK("https://klasma.github.io/Logging_0680/klagomålsmail/A 28682-2019 FSC-klagomål mail.docx", "A 28682-2019")</f>
        <v/>
      </c>
      <c r="X223">
        <f>HYPERLINK("https://klasma.github.io/Logging_0680/tillsyn/A 28682-2019 tillsynsbegäran.docx", "A 28682-2019")</f>
        <v/>
      </c>
      <c r="Y223">
        <f>HYPERLINK("https://klasma.github.io/Logging_0680/tillsynsmail/A 28682-2019 tillsynsbegäran mail.docx", "A 28682-2019")</f>
        <v/>
      </c>
    </row>
    <row r="224" ht="15" customHeight="1">
      <c r="A224" t="inlineStr">
        <is>
          <t>A 30971-2019</t>
        </is>
      </c>
      <c r="B224" s="1" t="n">
        <v>43639</v>
      </c>
      <c r="C224" s="1" t="n">
        <v>45716</v>
      </c>
      <c r="D224" t="inlineStr">
        <is>
          <t>JÖNKÖPINGS LÄN</t>
        </is>
      </c>
      <c r="E224" t="inlineStr">
        <is>
          <t>VETLANDA</t>
        </is>
      </c>
      <c r="G224" t="n">
        <v>10.7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Vanlig padda</t>
        </is>
      </c>
      <c r="S224">
        <f>HYPERLINK("https://klasma.github.io/Logging_0685/artfynd/A 30971-2019 artfynd.xlsx", "A 30971-2019")</f>
        <v/>
      </c>
      <c r="T224">
        <f>HYPERLINK("https://klasma.github.io/Logging_0685/kartor/A 30971-2019 karta.png", "A 30971-2019")</f>
        <v/>
      </c>
      <c r="V224">
        <f>HYPERLINK("https://klasma.github.io/Logging_0685/klagomål/A 30971-2019 FSC-klagomål.docx", "A 30971-2019")</f>
        <v/>
      </c>
      <c r="W224">
        <f>HYPERLINK("https://klasma.github.io/Logging_0685/klagomålsmail/A 30971-2019 FSC-klagomål mail.docx", "A 30971-2019")</f>
        <v/>
      </c>
      <c r="X224">
        <f>HYPERLINK("https://klasma.github.io/Logging_0685/tillsyn/A 30971-2019 tillsynsbegäran.docx", "A 30971-2019")</f>
        <v/>
      </c>
      <c r="Y224">
        <f>HYPERLINK("https://klasma.github.io/Logging_0685/tillsynsmail/A 30971-2019 tillsynsbegäran mail.docx", "A 30971-2019")</f>
        <v/>
      </c>
    </row>
    <row r="225" ht="15" customHeight="1">
      <c r="A225" t="inlineStr">
        <is>
          <t>A 34059-2019</t>
        </is>
      </c>
      <c r="B225" s="1" t="n">
        <v>43654</v>
      </c>
      <c r="C225" s="1" t="n">
        <v>45716</v>
      </c>
      <c r="D225" t="inlineStr">
        <is>
          <t>JÖNKÖPINGS LÄN</t>
        </is>
      </c>
      <c r="E225" t="inlineStr">
        <is>
          <t>MULLSJÖ</t>
        </is>
      </c>
      <c r="G225" t="n">
        <v>4.6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HYPERLINK("https://klasma.github.io/Logging_0642/artfynd/A 34059-2019 artfynd.xlsx", "A 34059-2019")</f>
        <v/>
      </c>
      <c r="T225">
        <f>HYPERLINK("https://klasma.github.io/Logging_0642/kartor/A 34059-2019 karta.png", "A 34059-2019")</f>
        <v/>
      </c>
      <c r="V225">
        <f>HYPERLINK("https://klasma.github.io/Logging_0642/klagomål/A 34059-2019 FSC-klagomål.docx", "A 34059-2019")</f>
        <v/>
      </c>
      <c r="W225">
        <f>HYPERLINK("https://klasma.github.io/Logging_0642/klagomålsmail/A 34059-2019 FSC-klagomål mail.docx", "A 34059-2019")</f>
        <v/>
      </c>
      <c r="X225">
        <f>HYPERLINK("https://klasma.github.io/Logging_0642/tillsyn/A 34059-2019 tillsynsbegäran.docx", "A 34059-2019")</f>
        <v/>
      </c>
      <c r="Y225">
        <f>HYPERLINK("https://klasma.github.io/Logging_0642/tillsynsmail/A 34059-2019 tillsynsbegäran mail.docx", "A 34059-2019")</f>
        <v/>
      </c>
      <c r="Z225">
        <f>HYPERLINK("https://klasma.github.io/Logging_0642/fåglar/A 34059-2019 prioriterade fågelarter.docx", "A 34059-2019")</f>
        <v/>
      </c>
    </row>
    <row r="226" ht="15" customHeight="1">
      <c r="A226" t="inlineStr">
        <is>
          <t>A 35825-2019</t>
        </is>
      </c>
      <c r="B226" s="1" t="n">
        <v>43665</v>
      </c>
      <c r="C226" s="1" t="n">
        <v>45716</v>
      </c>
      <c r="D226" t="inlineStr">
        <is>
          <t>JÖNKÖPINGS LÄN</t>
        </is>
      </c>
      <c r="E226" t="inlineStr">
        <is>
          <t>JÖNKÖPING</t>
        </is>
      </c>
      <c r="G226" t="n">
        <v>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HYPERLINK("https://klasma.github.io/Logging_0680/artfynd/A 35825-2019 artfynd.xlsx", "A 35825-2019")</f>
        <v/>
      </c>
      <c r="T226">
        <f>HYPERLINK("https://klasma.github.io/Logging_0680/kartor/A 35825-2019 karta.png", "A 35825-2019")</f>
        <v/>
      </c>
      <c r="U226">
        <f>HYPERLINK("https://klasma.github.io/Logging_0680/knärot/A 35825-2019 karta knärot.png", "A 35825-2019")</f>
        <v/>
      </c>
      <c r="V226">
        <f>HYPERLINK("https://klasma.github.io/Logging_0680/klagomål/A 35825-2019 FSC-klagomål.docx", "A 35825-2019")</f>
        <v/>
      </c>
      <c r="W226">
        <f>HYPERLINK("https://klasma.github.io/Logging_0680/klagomålsmail/A 35825-2019 FSC-klagomål mail.docx", "A 35825-2019")</f>
        <v/>
      </c>
      <c r="X226">
        <f>HYPERLINK("https://klasma.github.io/Logging_0680/tillsyn/A 35825-2019 tillsynsbegäran.docx", "A 35825-2019")</f>
        <v/>
      </c>
      <c r="Y226">
        <f>HYPERLINK("https://klasma.github.io/Logging_0680/tillsynsmail/A 35825-2019 tillsynsbegäran mail.docx", "A 35825-2019")</f>
        <v/>
      </c>
    </row>
    <row r="227" ht="15" customHeight="1">
      <c r="A227" t="inlineStr">
        <is>
          <t>A 37345-2019</t>
        </is>
      </c>
      <c r="B227" s="1" t="n">
        <v>43678</v>
      </c>
      <c r="C227" s="1" t="n">
        <v>45716</v>
      </c>
      <c r="D227" t="inlineStr">
        <is>
          <t>JÖNKÖPINGS LÄN</t>
        </is>
      </c>
      <c r="E227" t="inlineStr">
        <is>
          <t>GISLAVED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Sandödla</t>
        </is>
      </c>
      <c r="S227">
        <f>HYPERLINK("https://klasma.github.io/Logging_0662/artfynd/A 37345-2019 artfynd.xlsx", "A 37345-2019")</f>
        <v/>
      </c>
      <c r="T227">
        <f>HYPERLINK("https://klasma.github.io/Logging_0662/kartor/A 37345-2019 karta.png", "A 37345-2019")</f>
        <v/>
      </c>
      <c r="V227">
        <f>HYPERLINK("https://klasma.github.io/Logging_0662/klagomål/A 37345-2019 FSC-klagomål.docx", "A 37345-2019")</f>
        <v/>
      </c>
      <c r="W227">
        <f>HYPERLINK("https://klasma.github.io/Logging_0662/klagomålsmail/A 37345-2019 FSC-klagomål mail.docx", "A 37345-2019")</f>
        <v/>
      </c>
      <c r="X227">
        <f>HYPERLINK("https://klasma.github.io/Logging_0662/tillsyn/A 37345-2019 tillsynsbegäran.docx", "A 37345-2019")</f>
        <v/>
      </c>
      <c r="Y227">
        <f>HYPERLINK("https://klasma.github.io/Logging_0662/tillsynsmail/A 37345-2019 tillsynsbegäran mail.docx", "A 37345-2019")</f>
        <v/>
      </c>
    </row>
    <row r="228" ht="15" customHeight="1">
      <c r="A228" t="inlineStr">
        <is>
          <t>A 38365-2019</t>
        </is>
      </c>
      <c r="B228" s="1" t="n">
        <v>43685</v>
      </c>
      <c r="C228" s="1" t="n">
        <v>45716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HYPERLINK("https://klasma.github.io/Logging_0686/artfynd/A 38365-2019 artfynd.xlsx", "A 38365-2019")</f>
        <v/>
      </c>
      <c r="T228">
        <f>HYPERLINK("https://klasma.github.io/Logging_0686/kartor/A 38365-2019 karta.png", "A 38365-2019")</f>
        <v/>
      </c>
      <c r="U228">
        <f>HYPERLINK("https://klasma.github.io/Logging_0686/knärot/A 38365-2019 karta knärot.png", "A 38365-2019")</f>
        <v/>
      </c>
      <c r="V228">
        <f>HYPERLINK("https://klasma.github.io/Logging_0686/klagomål/A 38365-2019 FSC-klagomål.docx", "A 38365-2019")</f>
        <v/>
      </c>
      <c r="W228">
        <f>HYPERLINK("https://klasma.github.io/Logging_0686/klagomålsmail/A 38365-2019 FSC-klagomål mail.docx", "A 38365-2019")</f>
        <v/>
      </c>
      <c r="X228">
        <f>HYPERLINK("https://klasma.github.io/Logging_0686/tillsyn/A 38365-2019 tillsynsbegäran.docx", "A 38365-2019")</f>
        <v/>
      </c>
      <c r="Y228">
        <f>HYPERLINK("https://klasma.github.io/Logging_0686/tillsynsmail/A 38365-2019 tillsynsbegäran mail.docx", "A 38365-2019")</f>
        <v/>
      </c>
    </row>
    <row r="229" ht="15" customHeight="1">
      <c r="A229" t="inlineStr">
        <is>
          <t>A 40949-2019</t>
        </is>
      </c>
      <c r="B229" s="1" t="n">
        <v>43697</v>
      </c>
      <c r="C229" s="1" t="n">
        <v>45716</v>
      </c>
      <c r="D229" t="inlineStr">
        <is>
          <t>JÖNKÖPINGS LÄN</t>
        </is>
      </c>
      <c r="E229" t="inlineStr">
        <is>
          <t>TRANÅS</t>
        </is>
      </c>
      <c r="G229" t="n">
        <v>5.7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HYPERLINK("https://klasma.github.io/Logging_0687/artfynd/A 40949-2019 artfynd.xlsx", "A 40949-2019")</f>
        <v/>
      </c>
      <c r="T229">
        <f>HYPERLINK("https://klasma.github.io/Logging_0687/kartor/A 40949-2019 karta.png", "A 40949-2019")</f>
        <v/>
      </c>
      <c r="U229">
        <f>HYPERLINK("https://klasma.github.io/Logging_0687/knärot/A 40949-2019 karta knärot.png", "A 40949-2019")</f>
        <v/>
      </c>
      <c r="V229">
        <f>HYPERLINK("https://klasma.github.io/Logging_0687/klagomål/A 40949-2019 FSC-klagomål.docx", "A 40949-2019")</f>
        <v/>
      </c>
      <c r="W229">
        <f>HYPERLINK("https://klasma.github.io/Logging_0687/klagomålsmail/A 40949-2019 FSC-klagomål mail.docx", "A 40949-2019")</f>
        <v/>
      </c>
      <c r="X229">
        <f>HYPERLINK("https://klasma.github.io/Logging_0687/tillsyn/A 40949-2019 tillsynsbegäran.docx", "A 40949-2019")</f>
        <v/>
      </c>
      <c r="Y229">
        <f>HYPERLINK("https://klasma.github.io/Logging_0687/tillsynsmail/A 40949-2019 tillsynsbegäran mail.docx", "A 40949-2019")</f>
        <v/>
      </c>
    </row>
    <row r="230" ht="15" customHeight="1">
      <c r="A230" t="inlineStr">
        <is>
          <t>A 41226-2019</t>
        </is>
      </c>
      <c r="B230" s="1" t="n">
        <v>43698</v>
      </c>
      <c r="C230" s="1" t="n">
        <v>45716</v>
      </c>
      <c r="D230" t="inlineStr">
        <is>
          <t>JÖNKÖPINGS LÄN</t>
        </is>
      </c>
      <c r="E230" t="inlineStr">
        <is>
          <t>VAGGERYD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Gullviva</t>
        </is>
      </c>
      <c r="S230">
        <f>HYPERLINK("https://klasma.github.io/Logging_0665/artfynd/A 41226-2019 artfynd.xlsx", "A 41226-2019")</f>
        <v/>
      </c>
      <c r="T230">
        <f>HYPERLINK("https://klasma.github.io/Logging_0665/kartor/A 41226-2019 karta.png", "A 41226-2019")</f>
        <v/>
      </c>
      <c r="V230">
        <f>HYPERLINK("https://klasma.github.io/Logging_0665/klagomål/A 41226-2019 FSC-klagomål.docx", "A 41226-2019")</f>
        <v/>
      </c>
      <c r="W230">
        <f>HYPERLINK("https://klasma.github.io/Logging_0665/klagomålsmail/A 41226-2019 FSC-klagomål mail.docx", "A 41226-2019")</f>
        <v/>
      </c>
      <c r="X230">
        <f>HYPERLINK("https://klasma.github.io/Logging_0665/tillsyn/A 41226-2019 tillsynsbegäran.docx", "A 41226-2019")</f>
        <v/>
      </c>
      <c r="Y230">
        <f>HYPERLINK("https://klasma.github.io/Logging_0665/tillsynsmail/A 41226-2019 tillsynsbegäran mail.docx", "A 41226-2019")</f>
        <v/>
      </c>
    </row>
    <row r="231" ht="15" customHeight="1">
      <c r="A231" t="inlineStr">
        <is>
          <t>A 42132-2019</t>
        </is>
      </c>
      <c r="B231" s="1" t="n">
        <v>43703</v>
      </c>
      <c r="C231" s="1" t="n">
        <v>45716</v>
      </c>
      <c r="D231" t="inlineStr">
        <is>
          <t>JÖNKÖPINGS LÄN</t>
        </is>
      </c>
      <c r="E231" t="inlineStr">
        <is>
          <t>VAGGERYD</t>
        </is>
      </c>
      <c r="G231" t="n">
        <v>5.9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HYPERLINK("https://klasma.github.io/Logging_0665/artfynd/A 42132-2019 artfynd.xlsx", "A 42132-2019")</f>
        <v/>
      </c>
      <c r="T231">
        <f>HYPERLINK("https://klasma.github.io/Logging_0665/kartor/A 42132-2019 karta.png", "A 42132-2019")</f>
        <v/>
      </c>
      <c r="V231">
        <f>HYPERLINK("https://klasma.github.io/Logging_0665/klagomål/A 42132-2019 FSC-klagomål.docx", "A 42132-2019")</f>
        <v/>
      </c>
      <c r="W231">
        <f>HYPERLINK("https://klasma.github.io/Logging_0665/klagomålsmail/A 42132-2019 FSC-klagomål mail.docx", "A 42132-2019")</f>
        <v/>
      </c>
      <c r="X231">
        <f>HYPERLINK("https://klasma.github.io/Logging_0665/tillsyn/A 42132-2019 tillsynsbegäran.docx", "A 42132-2019")</f>
        <v/>
      </c>
      <c r="Y231">
        <f>HYPERLINK("https://klasma.github.io/Logging_0665/tillsynsmail/A 42132-2019 tillsynsbegäran mail.docx", "A 42132-2019")</f>
        <v/>
      </c>
    </row>
    <row r="232" ht="15" customHeight="1">
      <c r="A232" t="inlineStr">
        <is>
          <t>A 45093-2019</t>
        </is>
      </c>
      <c r="B232" s="1" t="n">
        <v>43713</v>
      </c>
      <c r="C232" s="1" t="n">
        <v>45716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HYPERLINK("https://klasma.github.io/Logging_0685/artfynd/A 45093-2019 artfynd.xlsx", "A 45093-2019")</f>
        <v/>
      </c>
      <c r="T232">
        <f>HYPERLINK("https://klasma.github.io/Logging_0685/kartor/A 45093-2019 karta.png", "A 45093-2019")</f>
        <v/>
      </c>
      <c r="V232">
        <f>HYPERLINK("https://klasma.github.io/Logging_0685/klagomål/A 45093-2019 FSC-klagomål.docx", "A 45093-2019")</f>
        <v/>
      </c>
      <c r="W232">
        <f>HYPERLINK("https://klasma.github.io/Logging_0685/klagomålsmail/A 45093-2019 FSC-klagomål mail.docx", "A 45093-2019")</f>
        <v/>
      </c>
      <c r="X232">
        <f>HYPERLINK("https://klasma.github.io/Logging_0685/tillsyn/A 45093-2019 tillsynsbegäran.docx", "A 45093-2019")</f>
        <v/>
      </c>
      <c r="Y232">
        <f>HYPERLINK("https://klasma.github.io/Logging_0685/tillsynsmail/A 45093-2019 tillsynsbegäran mail.docx", "A 45093-2019")</f>
        <v/>
      </c>
    </row>
    <row r="233" ht="15" customHeight="1">
      <c r="A233" t="inlineStr">
        <is>
          <t>A 46208-2019</t>
        </is>
      </c>
      <c r="B233" s="1" t="n">
        <v>43718</v>
      </c>
      <c r="C233" s="1" t="n">
        <v>45716</v>
      </c>
      <c r="D233" t="inlineStr">
        <is>
          <t>JÖNKÖPINGS LÄN</t>
        </is>
      </c>
      <c r="E233" t="inlineStr">
        <is>
          <t>VETLANDA</t>
        </is>
      </c>
      <c r="G233" t="n">
        <v>2.7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HYPERLINK("https://klasma.github.io/Logging_0685/artfynd/A 46208-2019 artfynd.xlsx", "A 46208-2019")</f>
        <v/>
      </c>
      <c r="T233">
        <f>HYPERLINK("https://klasma.github.io/Logging_0685/kartor/A 46208-2019 karta.png", "A 46208-2019")</f>
        <v/>
      </c>
      <c r="V233">
        <f>HYPERLINK("https://klasma.github.io/Logging_0685/klagomål/A 46208-2019 FSC-klagomål.docx", "A 46208-2019")</f>
        <v/>
      </c>
      <c r="W233">
        <f>HYPERLINK("https://klasma.github.io/Logging_0685/klagomålsmail/A 46208-2019 FSC-klagomål mail.docx", "A 46208-2019")</f>
        <v/>
      </c>
      <c r="X233">
        <f>HYPERLINK("https://klasma.github.io/Logging_0685/tillsyn/A 46208-2019 tillsynsbegäran.docx", "A 46208-2019")</f>
        <v/>
      </c>
      <c r="Y233">
        <f>HYPERLINK("https://klasma.github.io/Logging_0685/tillsynsmail/A 46208-2019 tillsynsbegäran mail.docx", "A 46208-2019")</f>
        <v/>
      </c>
    </row>
    <row r="234" ht="15" customHeight="1">
      <c r="A234" t="inlineStr">
        <is>
          <t>A 48689-2019</t>
        </is>
      </c>
      <c r="B234" s="1" t="n">
        <v>43727</v>
      </c>
      <c r="C234" s="1" t="n">
        <v>45716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Kyrkan</t>
        </is>
      </c>
      <c r="G234" t="n">
        <v>5.3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Större vattensalamander</t>
        </is>
      </c>
      <c r="S234">
        <f>HYPERLINK("https://klasma.github.io/Logging_0680/artfynd/A 48689-2019 artfynd.xlsx", "A 48689-2019")</f>
        <v/>
      </c>
      <c r="T234">
        <f>HYPERLINK("https://klasma.github.io/Logging_0680/kartor/A 48689-2019 karta.png", "A 48689-2019")</f>
        <v/>
      </c>
      <c r="V234">
        <f>HYPERLINK("https://klasma.github.io/Logging_0680/klagomål/A 48689-2019 FSC-klagomål.docx", "A 48689-2019")</f>
        <v/>
      </c>
      <c r="W234">
        <f>HYPERLINK("https://klasma.github.io/Logging_0680/klagomålsmail/A 48689-2019 FSC-klagomål mail.docx", "A 48689-2019")</f>
        <v/>
      </c>
      <c r="X234">
        <f>HYPERLINK("https://klasma.github.io/Logging_0680/tillsyn/A 48689-2019 tillsynsbegäran.docx", "A 48689-2019")</f>
        <v/>
      </c>
      <c r="Y234">
        <f>HYPERLINK("https://klasma.github.io/Logging_0680/tillsynsmail/A 48689-2019 tillsynsbegäran mail.docx", "A 48689-2019")</f>
        <v/>
      </c>
    </row>
    <row r="235" ht="15" customHeight="1">
      <c r="A235" t="inlineStr">
        <is>
          <t>A 53433-2019</t>
        </is>
      </c>
      <c r="B235" s="1" t="n">
        <v>43748</v>
      </c>
      <c r="C235" s="1" t="n">
        <v>45716</v>
      </c>
      <c r="D235" t="inlineStr">
        <is>
          <t>JÖNKÖPINGS LÄN</t>
        </is>
      </c>
      <c r="E235" t="inlineStr">
        <is>
          <t>VETLANDA</t>
        </is>
      </c>
      <c r="G235" t="n">
        <v>3.3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HYPERLINK("https://klasma.github.io/Logging_0685/artfynd/A 53433-2019 artfynd.xlsx", "A 53433-2019")</f>
        <v/>
      </c>
      <c r="T235">
        <f>HYPERLINK("https://klasma.github.io/Logging_0685/kartor/A 53433-2019 karta.png", "A 53433-2019")</f>
        <v/>
      </c>
      <c r="V235">
        <f>HYPERLINK("https://klasma.github.io/Logging_0685/klagomål/A 53433-2019 FSC-klagomål.docx", "A 53433-2019")</f>
        <v/>
      </c>
      <c r="W235">
        <f>HYPERLINK("https://klasma.github.io/Logging_0685/klagomålsmail/A 53433-2019 FSC-klagomål mail.docx", "A 53433-2019")</f>
        <v/>
      </c>
      <c r="X235">
        <f>HYPERLINK("https://klasma.github.io/Logging_0685/tillsyn/A 53433-2019 tillsynsbegäran.docx", "A 53433-2019")</f>
        <v/>
      </c>
      <c r="Y235">
        <f>HYPERLINK("https://klasma.github.io/Logging_0685/tillsynsmail/A 53433-2019 tillsynsbegäran mail.docx", "A 53433-2019")</f>
        <v/>
      </c>
    </row>
    <row r="236" ht="15" customHeight="1">
      <c r="A236" t="inlineStr">
        <is>
          <t>A 53890-2019</t>
        </is>
      </c>
      <c r="B236" s="1" t="n">
        <v>43752</v>
      </c>
      <c r="C236" s="1" t="n">
        <v>45716</v>
      </c>
      <c r="D236" t="inlineStr">
        <is>
          <t>JÖNKÖPINGS LÄN</t>
        </is>
      </c>
      <c r="E236" t="inlineStr">
        <is>
          <t>VAGGERYD</t>
        </is>
      </c>
      <c r="G236" t="n">
        <v>5.3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HYPERLINK("https://klasma.github.io/Logging_0665/artfynd/A 53890-2019 artfynd.xlsx", "A 53890-2019")</f>
        <v/>
      </c>
      <c r="T236">
        <f>HYPERLINK("https://klasma.github.io/Logging_0665/kartor/A 53890-2019 karta.png", "A 53890-2019")</f>
        <v/>
      </c>
      <c r="V236">
        <f>HYPERLINK("https://klasma.github.io/Logging_0665/klagomål/A 53890-2019 FSC-klagomål.docx", "A 53890-2019")</f>
        <v/>
      </c>
      <c r="W236">
        <f>HYPERLINK("https://klasma.github.io/Logging_0665/klagomålsmail/A 53890-2019 FSC-klagomål mail.docx", "A 53890-2019")</f>
        <v/>
      </c>
      <c r="X236">
        <f>HYPERLINK("https://klasma.github.io/Logging_0665/tillsyn/A 53890-2019 tillsynsbegäran.docx", "A 53890-2019")</f>
        <v/>
      </c>
      <c r="Y236">
        <f>HYPERLINK("https://klasma.github.io/Logging_0665/tillsynsmail/A 53890-2019 tillsynsbegäran mail.docx", "A 53890-2019")</f>
        <v/>
      </c>
      <c r="Z236">
        <f>HYPERLINK("https://klasma.github.io/Logging_0665/fåglar/A 53890-2019 prioriterade fågelarter.docx", "A 53890-2019")</f>
        <v/>
      </c>
    </row>
    <row r="237" ht="15" customHeight="1">
      <c r="A237" t="inlineStr">
        <is>
          <t>A 54655-2019</t>
        </is>
      </c>
      <c r="B237" s="1" t="n">
        <v>43754</v>
      </c>
      <c r="C237" s="1" t="n">
        <v>45716</v>
      </c>
      <c r="D237" t="inlineStr">
        <is>
          <t>JÖNKÖPINGS LÄN</t>
        </is>
      </c>
      <c r="E237" t="inlineStr">
        <is>
          <t>TRANÅS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HYPERLINK("https://klasma.github.io/Logging_0687/artfynd/A 54655-2019 artfynd.xlsx", "A 54655-2019")</f>
        <v/>
      </c>
      <c r="T237">
        <f>HYPERLINK("https://klasma.github.io/Logging_0687/kartor/A 54655-2019 karta.png", "A 54655-2019")</f>
        <v/>
      </c>
      <c r="V237">
        <f>HYPERLINK("https://klasma.github.io/Logging_0687/klagomål/A 54655-2019 FSC-klagomål.docx", "A 54655-2019")</f>
        <v/>
      </c>
      <c r="W237">
        <f>HYPERLINK("https://klasma.github.io/Logging_0687/klagomålsmail/A 54655-2019 FSC-klagomål mail.docx", "A 54655-2019")</f>
        <v/>
      </c>
      <c r="X237">
        <f>HYPERLINK("https://klasma.github.io/Logging_0687/tillsyn/A 54655-2019 tillsynsbegäran.docx", "A 54655-2019")</f>
        <v/>
      </c>
      <c r="Y237">
        <f>HYPERLINK("https://klasma.github.io/Logging_0687/tillsynsmail/A 54655-2019 tillsynsbegäran mail.docx", "A 54655-2019")</f>
        <v/>
      </c>
    </row>
    <row r="238" ht="15" customHeight="1">
      <c r="A238" t="inlineStr">
        <is>
          <t>A 56126-2019</t>
        </is>
      </c>
      <c r="B238" s="1" t="n">
        <v>43761</v>
      </c>
      <c r="C238" s="1" t="n">
        <v>45716</v>
      </c>
      <c r="D238" t="inlineStr">
        <is>
          <t>JÖNKÖPINGS LÄN</t>
        </is>
      </c>
      <c r="E238" t="inlineStr">
        <is>
          <t>VAGGERYD</t>
        </is>
      </c>
      <c r="G238" t="n">
        <v>2.4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HYPERLINK("https://klasma.github.io/Logging_0665/artfynd/A 56126-2019 artfynd.xlsx", "A 56126-2019")</f>
        <v/>
      </c>
      <c r="T238">
        <f>HYPERLINK("https://klasma.github.io/Logging_0665/kartor/A 56126-2019 karta.png", "A 56126-2019")</f>
        <v/>
      </c>
      <c r="U238">
        <f>HYPERLINK("https://klasma.github.io/Logging_0665/knärot/A 56126-2019 karta knärot.png", "A 56126-2019")</f>
        <v/>
      </c>
      <c r="V238">
        <f>HYPERLINK("https://klasma.github.io/Logging_0665/klagomål/A 56126-2019 FSC-klagomål.docx", "A 56126-2019")</f>
        <v/>
      </c>
      <c r="W238">
        <f>HYPERLINK("https://klasma.github.io/Logging_0665/klagomålsmail/A 56126-2019 FSC-klagomål mail.docx", "A 56126-2019")</f>
        <v/>
      </c>
      <c r="X238">
        <f>HYPERLINK("https://klasma.github.io/Logging_0665/tillsyn/A 56126-2019 tillsynsbegäran.docx", "A 56126-2019")</f>
        <v/>
      </c>
      <c r="Y238">
        <f>HYPERLINK("https://klasma.github.io/Logging_0665/tillsynsmail/A 56126-2019 tillsynsbegäran mail.docx", "A 56126-2019")</f>
        <v/>
      </c>
    </row>
    <row r="239" ht="15" customHeight="1">
      <c r="A239" t="inlineStr">
        <is>
          <t>A 62740-2019</t>
        </is>
      </c>
      <c r="B239" s="1" t="n">
        <v>43790</v>
      </c>
      <c r="C239" s="1" t="n">
        <v>45716</v>
      </c>
      <c r="D239" t="inlineStr">
        <is>
          <t>JÖNKÖPINGS LÄN</t>
        </is>
      </c>
      <c r="E239" t="inlineStr">
        <is>
          <t>TRANÅS</t>
        </is>
      </c>
      <c r="G239" t="n">
        <v>1.5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Kandelabersvamp</t>
        </is>
      </c>
      <c r="S239">
        <f>HYPERLINK("https://klasma.github.io/Logging_0687/artfynd/A 62740-2019 artfynd.xlsx", "A 62740-2019")</f>
        <v/>
      </c>
      <c r="T239">
        <f>HYPERLINK("https://klasma.github.io/Logging_0687/kartor/A 62740-2019 karta.png", "A 62740-2019")</f>
        <v/>
      </c>
      <c r="V239">
        <f>HYPERLINK("https://klasma.github.io/Logging_0687/klagomål/A 62740-2019 FSC-klagomål.docx", "A 62740-2019")</f>
        <v/>
      </c>
      <c r="W239">
        <f>HYPERLINK("https://klasma.github.io/Logging_0687/klagomålsmail/A 62740-2019 FSC-klagomål mail.docx", "A 62740-2019")</f>
        <v/>
      </c>
      <c r="X239">
        <f>HYPERLINK("https://klasma.github.io/Logging_0687/tillsyn/A 62740-2019 tillsynsbegäran.docx", "A 62740-2019")</f>
        <v/>
      </c>
      <c r="Y239">
        <f>HYPERLINK("https://klasma.github.io/Logging_0687/tillsynsmail/A 62740-2019 tillsynsbegäran mail.docx", "A 62740-2019")</f>
        <v/>
      </c>
    </row>
    <row r="240" ht="15" customHeight="1">
      <c r="A240" t="inlineStr">
        <is>
          <t>A 67740-2019</t>
        </is>
      </c>
      <c r="B240" s="1" t="n">
        <v>43809</v>
      </c>
      <c r="C240" s="1" t="n">
        <v>45716</v>
      </c>
      <c r="D240" t="inlineStr">
        <is>
          <t>JÖNKÖPINGS LÄN</t>
        </is>
      </c>
      <c r="E240" t="inlineStr">
        <is>
          <t>TRANÅS</t>
        </is>
      </c>
      <c r="G240" t="n">
        <v>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HYPERLINK("https://klasma.github.io/Logging_0687/artfynd/A 67740-2019 artfynd.xlsx", "A 67740-2019")</f>
        <v/>
      </c>
      <c r="T240">
        <f>HYPERLINK("https://klasma.github.io/Logging_0687/kartor/A 67740-2019 karta.png", "A 67740-2019")</f>
        <v/>
      </c>
      <c r="V240">
        <f>HYPERLINK("https://klasma.github.io/Logging_0687/klagomål/A 67740-2019 FSC-klagomål.docx", "A 67740-2019")</f>
        <v/>
      </c>
      <c r="W240">
        <f>HYPERLINK("https://klasma.github.io/Logging_0687/klagomålsmail/A 67740-2019 FSC-klagomål mail.docx", "A 67740-2019")</f>
        <v/>
      </c>
      <c r="X240">
        <f>HYPERLINK("https://klasma.github.io/Logging_0687/tillsyn/A 67740-2019 tillsynsbegäran.docx", "A 67740-2019")</f>
        <v/>
      </c>
      <c r="Y240">
        <f>HYPERLINK("https://klasma.github.io/Logging_0687/tillsynsmail/A 67740-2019 tillsynsbegäran mail.docx", "A 67740-2019")</f>
        <v/>
      </c>
    </row>
    <row r="241" ht="15" customHeight="1">
      <c r="A241" t="inlineStr">
        <is>
          <t>A 67742-2019</t>
        </is>
      </c>
      <c r="B241" s="1" t="n">
        <v>43809</v>
      </c>
      <c r="C241" s="1" t="n">
        <v>45716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67742-2019 artfynd.xlsx", "A 67742-2019")</f>
        <v/>
      </c>
      <c r="T241">
        <f>HYPERLINK("https://klasma.github.io/Logging_0687/kartor/A 67742-2019 karta.png", "A 67742-2019")</f>
        <v/>
      </c>
      <c r="V241">
        <f>HYPERLINK("https://klasma.github.io/Logging_0687/klagomål/A 67742-2019 FSC-klagomål.docx", "A 67742-2019")</f>
        <v/>
      </c>
      <c r="W241">
        <f>HYPERLINK("https://klasma.github.io/Logging_0687/klagomålsmail/A 67742-2019 FSC-klagomål mail.docx", "A 67742-2019")</f>
        <v/>
      </c>
      <c r="X241">
        <f>HYPERLINK("https://klasma.github.io/Logging_0687/tillsyn/A 67742-2019 tillsynsbegäran.docx", "A 67742-2019")</f>
        <v/>
      </c>
      <c r="Y241">
        <f>HYPERLINK("https://klasma.github.io/Logging_0687/tillsynsmail/A 67742-2019 tillsynsbegäran mail.docx", "A 67742-2019")</f>
        <v/>
      </c>
    </row>
    <row r="242" ht="15" customHeight="1">
      <c r="A242" t="inlineStr">
        <is>
          <t>A 67950-2019</t>
        </is>
      </c>
      <c r="B242" s="1" t="n">
        <v>43811</v>
      </c>
      <c r="C242" s="1" t="n">
        <v>45716</v>
      </c>
      <c r="D242" t="inlineStr">
        <is>
          <t>JÖNKÖPINGS LÄN</t>
        </is>
      </c>
      <c r="E242" t="inlineStr">
        <is>
          <t>VETLANDA</t>
        </is>
      </c>
      <c r="G242" t="n">
        <v>10.9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67950-2019 artfynd.xlsx", "A 67950-2019")</f>
        <v/>
      </c>
      <c r="T242">
        <f>HYPERLINK("https://klasma.github.io/Logging_0685/kartor/A 67950-2019 karta.png", "A 67950-2019")</f>
        <v/>
      </c>
      <c r="U242">
        <f>HYPERLINK("https://klasma.github.io/Logging_0685/knärot/A 67950-2019 karta knärot.png", "A 67950-2019")</f>
        <v/>
      </c>
      <c r="V242">
        <f>HYPERLINK("https://klasma.github.io/Logging_0685/klagomål/A 67950-2019 FSC-klagomål.docx", "A 67950-2019")</f>
        <v/>
      </c>
      <c r="W242">
        <f>HYPERLINK("https://klasma.github.io/Logging_0685/klagomålsmail/A 67950-2019 FSC-klagomål mail.docx", "A 67950-2019")</f>
        <v/>
      </c>
      <c r="X242">
        <f>HYPERLINK("https://klasma.github.io/Logging_0685/tillsyn/A 67950-2019 tillsynsbegäran.docx", "A 67950-2019")</f>
        <v/>
      </c>
      <c r="Y242">
        <f>HYPERLINK("https://klasma.github.io/Logging_0685/tillsynsmail/A 67950-2019 tillsynsbegäran mail.docx", "A 67950-2019")</f>
        <v/>
      </c>
    </row>
    <row r="243" ht="15" customHeight="1">
      <c r="A243" t="inlineStr">
        <is>
          <t>A 6334-2020</t>
        </is>
      </c>
      <c r="B243" s="1" t="n">
        <v>43866</v>
      </c>
      <c r="C243" s="1" t="n">
        <v>45716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Klasefibbla</t>
        </is>
      </c>
      <c r="S243">
        <f>HYPERLINK("https://klasma.github.io/Logging_0687/artfynd/A 6334-2020 artfynd.xlsx", "A 6334-2020")</f>
        <v/>
      </c>
      <c r="T243">
        <f>HYPERLINK("https://klasma.github.io/Logging_0687/kartor/A 6334-2020 karta.png", "A 6334-2020")</f>
        <v/>
      </c>
      <c r="V243">
        <f>HYPERLINK("https://klasma.github.io/Logging_0687/klagomål/A 6334-2020 FSC-klagomål.docx", "A 6334-2020")</f>
        <v/>
      </c>
      <c r="W243">
        <f>HYPERLINK("https://klasma.github.io/Logging_0687/klagomålsmail/A 6334-2020 FSC-klagomål mail.docx", "A 6334-2020")</f>
        <v/>
      </c>
      <c r="X243">
        <f>HYPERLINK("https://klasma.github.io/Logging_0687/tillsyn/A 6334-2020 tillsynsbegäran.docx", "A 6334-2020")</f>
        <v/>
      </c>
      <c r="Y243">
        <f>HYPERLINK("https://klasma.github.io/Logging_0687/tillsynsmail/A 6334-2020 tillsynsbegäran mail.docx", "A 6334-2020")</f>
        <v/>
      </c>
    </row>
    <row r="244" ht="15" customHeight="1">
      <c r="A244" t="inlineStr">
        <is>
          <t>A 7860-2020</t>
        </is>
      </c>
      <c r="B244" s="1" t="n">
        <v>43873</v>
      </c>
      <c r="C244" s="1" t="n">
        <v>45716</v>
      </c>
      <c r="D244" t="inlineStr">
        <is>
          <t>JÖNKÖPINGS LÄN</t>
        </is>
      </c>
      <c r="E244" t="inlineStr">
        <is>
          <t>VÄRNAMO</t>
        </is>
      </c>
      <c r="G244" t="n">
        <v>3.8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Plattlummer</t>
        </is>
      </c>
      <c r="S244">
        <f>HYPERLINK("https://klasma.github.io/Logging_0683/artfynd/A 7860-2020 artfynd.xlsx", "A 7860-2020")</f>
        <v/>
      </c>
      <c r="T244">
        <f>HYPERLINK("https://klasma.github.io/Logging_0683/kartor/A 7860-2020 karta.png", "A 7860-2020")</f>
        <v/>
      </c>
      <c r="V244">
        <f>HYPERLINK("https://klasma.github.io/Logging_0683/klagomål/A 7860-2020 FSC-klagomål.docx", "A 7860-2020")</f>
        <v/>
      </c>
      <c r="W244">
        <f>HYPERLINK("https://klasma.github.io/Logging_0683/klagomålsmail/A 7860-2020 FSC-klagomål mail.docx", "A 7860-2020")</f>
        <v/>
      </c>
      <c r="X244">
        <f>HYPERLINK("https://klasma.github.io/Logging_0683/tillsyn/A 7860-2020 tillsynsbegäran.docx", "A 7860-2020")</f>
        <v/>
      </c>
      <c r="Y244">
        <f>HYPERLINK("https://klasma.github.io/Logging_0683/tillsynsmail/A 7860-2020 tillsynsbegäran mail.docx", "A 7860-2020")</f>
        <v/>
      </c>
    </row>
    <row r="245" ht="15" customHeight="1">
      <c r="A245" t="inlineStr">
        <is>
          <t>A 12704-2020</t>
        </is>
      </c>
      <c r="B245" s="1" t="n">
        <v>43899</v>
      </c>
      <c r="C245" s="1" t="n">
        <v>45716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HYPERLINK("https://klasma.github.io/Logging_0680/artfynd/A 12704-2020 artfynd.xlsx", "A 12704-2020")</f>
        <v/>
      </c>
      <c r="T245">
        <f>HYPERLINK("https://klasma.github.io/Logging_0680/kartor/A 12704-2020 karta.png", "A 12704-2020")</f>
        <v/>
      </c>
      <c r="V245">
        <f>HYPERLINK("https://klasma.github.io/Logging_0680/klagomål/A 12704-2020 FSC-klagomål.docx", "A 12704-2020")</f>
        <v/>
      </c>
      <c r="W245">
        <f>HYPERLINK("https://klasma.github.io/Logging_0680/klagomålsmail/A 12704-2020 FSC-klagomål mail.docx", "A 12704-2020")</f>
        <v/>
      </c>
      <c r="X245">
        <f>HYPERLINK("https://klasma.github.io/Logging_0680/tillsyn/A 12704-2020 tillsynsbegäran.docx", "A 12704-2020")</f>
        <v/>
      </c>
      <c r="Y245">
        <f>HYPERLINK("https://klasma.github.io/Logging_0680/tillsynsmail/A 12704-2020 tillsynsbegäran mail.docx", "A 12704-2020")</f>
        <v/>
      </c>
    </row>
    <row r="246" ht="15" customHeight="1">
      <c r="A246" t="inlineStr">
        <is>
          <t>A 13949-2020</t>
        </is>
      </c>
      <c r="B246" s="1" t="n">
        <v>43906</v>
      </c>
      <c r="C246" s="1" t="n">
        <v>45716</v>
      </c>
      <c r="D246" t="inlineStr">
        <is>
          <t>JÖNKÖPINGS LÄN</t>
        </is>
      </c>
      <c r="E246" t="inlineStr">
        <is>
          <t>MULLSJÖ</t>
        </is>
      </c>
      <c r="G246" t="n">
        <v>4.8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Backsippa</t>
        </is>
      </c>
      <c r="S246">
        <f>HYPERLINK("https://klasma.github.io/Logging_0642/artfynd/A 13949-2020 artfynd.xlsx", "A 13949-2020")</f>
        <v/>
      </c>
      <c r="T246">
        <f>HYPERLINK("https://klasma.github.io/Logging_0642/kartor/A 13949-2020 karta.png", "A 13949-2020")</f>
        <v/>
      </c>
      <c r="V246">
        <f>HYPERLINK("https://klasma.github.io/Logging_0642/klagomål/A 13949-2020 FSC-klagomål.docx", "A 13949-2020")</f>
        <v/>
      </c>
      <c r="W246">
        <f>HYPERLINK("https://klasma.github.io/Logging_0642/klagomålsmail/A 13949-2020 FSC-klagomål mail.docx", "A 13949-2020")</f>
        <v/>
      </c>
      <c r="X246">
        <f>HYPERLINK("https://klasma.github.io/Logging_0642/tillsyn/A 13949-2020 tillsynsbegäran.docx", "A 13949-2020")</f>
        <v/>
      </c>
      <c r="Y246">
        <f>HYPERLINK("https://klasma.github.io/Logging_0642/tillsynsmail/A 13949-2020 tillsynsbegäran mail.docx", "A 13949-2020")</f>
        <v/>
      </c>
    </row>
    <row r="247" ht="15" customHeight="1">
      <c r="A247" t="inlineStr">
        <is>
          <t>A 15058-2020</t>
        </is>
      </c>
      <c r="B247" s="1" t="n">
        <v>43910</v>
      </c>
      <c r="C247" s="1" t="n">
        <v>45716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Gränsticka</t>
        </is>
      </c>
      <c r="S247">
        <f>HYPERLINK("https://klasma.github.io/Logging_0686/artfynd/A 15058-2020 artfynd.xlsx", "A 15058-2020")</f>
        <v/>
      </c>
      <c r="T247">
        <f>HYPERLINK("https://klasma.github.io/Logging_0686/kartor/A 15058-2020 karta.png", "A 15058-2020")</f>
        <v/>
      </c>
      <c r="V247">
        <f>HYPERLINK("https://klasma.github.io/Logging_0686/klagomål/A 15058-2020 FSC-klagomål.docx", "A 15058-2020")</f>
        <v/>
      </c>
      <c r="W247">
        <f>HYPERLINK("https://klasma.github.io/Logging_0686/klagomålsmail/A 15058-2020 FSC-klagomål mail.docx", "A 15058-2020")</f>
        <v/>
      </c>
      <c r="X247">
        <f>HYPERLINK("https://klasma.github.io/Logging_0686/tillsyn/A 15058-2020 tillsynsbegäran.docx", "A 15058-2020")</f>
        <v/>
      </c>
      <c r="Y247">
        <f>HYPERLINK("https://klasma.github.io/Logging_0686/tillsynsmail/A 15058-2020 tillsynsbegäran mail.docx", "A 15058-2020")</f>
        <v/>
      </c>
    </row>
    <row r="248" ht="15" customHeight="1">
      <c r="A248" t="inlineStr">
        <is>
          <t>A 17322-2020</t>
        </is>
      </c>
      <c r="B248" s="1" t="n">
        <v>43922</v>
      </c>
      <c r="C248" s="1" t="n">
        <v>45716</v>
      </c>
      <c r="D248" t="inlineStr">
        <is>
          <t>JÖNKÖPINGS LÄN</t>
        </is>
      </c>
      <c r="E248" t="inlineStr">
        <is>
          <t>GNOSJÖ</t>
        </is>
      </c>
      <c r="G248" t="n">
        <v>1.4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HYPERLINK("https://klasma.github.io/Logging_0617/artfynd/A 17322-2020 artfynd.xlsx", "A 17322-2020")</f>
        <v/>
      </c>
      <c r="T248">
        <f>HYPERLINK("https://klasma.github.io/Logging_0617/kartor/A 17322-2020 karta.png", "A 17322-2020")</f>
        <v/>
      </c>
      <c r="V248">
        <f>HYPERLINK("https://klasma.github.io/Logging_0617/klagomål/A 17322-2020 FSC-klagomål.docx", "A 17322-2020")</f>
        <v/>
      </c>
      <c r="W248">
        <f>HYPERLINK("https://klasma.github.io/Logging_0617/klagomålsmail/A 17322-2020 FSC-klagomål mail.docx", "A 17322-2020")</f>
        <v/>
      </c>
      <c r="X248">
        <f>HYPERLINK("https://klasma.github.io/Logging_0617/tillsyn/A 17322-2020 tillsynsbegäran.docx", "A 17322-2020")</f>
        <v/>
      </c>
      <c r="Y248">
        <f>HYPERLINK("https://klasma.github.io/Logging_0617/tillsynsmail/A 17322-2020 tillsynsbegäran mail.docx", "A 17322-2020")</f>
        <v/>
      </c>
    </row>
    <row r="249" ht="15" customHeight="1">
      <c r="A249" t="inlineStr">
        <is>
          <t>A 18710-2020</t>
        </is>
      </c>
      <c r="B249" s="1" t="n">
        <v>43930</v>
      </c>
      <c r="C249" s="1" t="n">
        <v>45716</v>
      </c>
      <c r="D249" t="inlineStr">
        <is>
          <t>JÖNKÖPINGS LÄN</t>
        </is>
      </c>
      <c r="E249" t="inlineStr">
        <is>
          <t>VETLANDA</t>
        </is>
      </c>
      <c r="G249" t="n">
        <v>3.4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HYPERLINK("https://klasma.github.io/Logging_0685/artfynd/A 18710-2020 artfynd.xlsx", "A 18710-2020")</f>
        <v/>
      </c>
      <c r="T249">
        <f>HYPERLINK("https://klasma.github.io/Logging_0685/kartor/A 18710-2020 karta.png", "A 18710-2020")</f>
        <v/>
      </c>
      <c r="U249">
        <f>HYPERLINK("https://klasma.github.io/Logging_0685/knärot/A 18710-2020 karta knärot.png", "A 18710-2020")</f>
        <v/>
      </c>
      <c r="V249">
        <f>HYPERLINK("https://klasma.github.io/Logging_0685/klagomål/A 18710-2020 FSC-klagomål.docx", "A 18710-2020")</f>
        <v/>
      </c>
      <c r="W249">
        <f>HYPERLINK("https://klasma.github.io/Logging_0685/klagomålsmail/A 18710-2020 FSC-klagomål mail.docx", "A 18710-2020")</f>
        <v/>
      </c>
      <c r="X249">
        <f>HYPERLINK("https://klasma.github.io/Logging_0685/tillsyn/A 18710-2020 tillsynsbegäran.docx", "A 18710-2020")</f>
        <v/>
      </c>
      <c r="Y249">
        <f>HYPERLINK("https://klasma.github.io/Logging_0685/tillsynsmail/A 18710-2020 tillsynsbegäran mail.docx", "A 18710-2020")</f>
        <v/>
      </c>
    </row>
    <row r="250" ht="15" customHeight="1">
      <c r="A250" t="inlineStr">
        <is>
          <t>A 26543-2020</t>
        </is>
      </c>
      <c r="B250" s="1" t="n">
        <v>43987</v>
      </c>
      <c r="C250" s="1" t="n">
        <v>45716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HYPERLINK("https://klasma.github.io/Logging_0682/artfynd/A 26543-2020 artfynd.xlsx", "A 26543-2020")</f>
        <v/>
      </c>
      <c r="T250">
        <f>HYPERLINK("https://klasma.github.io/Logging_0682/kartor/A 26543-2020 karta.png", "A 26543-2020")</f>
        <v/>
      </c>
      <c r="V250">
        <f>HYPERLINK("https://klasma.github.io/Logging_0682/klagomål/A 26543-2020 FSC-klagomål.docx", "A 26543-2020")</f>
        <v/>
      </c>
      <c r="W250">
        <f>HYPERLINK("https://klasma.github.io/Logging_0682/klagomålsmail/A 26543-2020 FSC-klagomål mail.docx", "A 26543-2020")</f>
        <v/>
      </c>
      <c r="X250">
        <f>HYPERLINK("https://klasma.github.io/Logging_0682/tillsyn/A 26543-2020 tillsynsbegäran.docx", "A 26543-2020")</f>
        <v/>
      </c>
      <c r="Y250">
        <f>HYPERLINK("https://klasma.github.io/Logging_0682/tillsynsmail/A 26543-2020 tillsynsbegäran mail.docx", "A 26543-2020")</f>
        <v/>
      </c>
    </row>
    <row r="251" ht="15" customHeight="1">
      <c r="A251" t="inlineStr">
        <is>
          <t>A 27834-2020</t>
        </is>
      </c>
      <c r="B251" s="1" t="n">
        <v>43994</v>
      </c>
      <c r="C251" s="1" t="n">
        <v>45716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Igelkott</t>
        </is>
      </c>
      <c r="S251">
        <f>HYPERLINK("https://klasma.github.io/Logging_0687/artfynd/A 27834-2020 artfynd.xlsx", "A 27834-2020")</f>
        <v/>
      </c>
      <c r="T251">
        <f>HYPERLINK("https://klasma.github.io/Logging_0687/kartor/A 27834-2020 karta.png", "A 27834-2020")</f>
        <v/>
      </c>
      <c r="V251">
        <f>HYPERLINK("https://klasma.github.io/Logging_0687/klagomål/A 27834-2020 FSC-klagomål.docx", "A 27834-2020")</f>
        <v/>
      </c>
      <c r="W251">
        <f>HYPERLINK("https://klasma.github.io/Logging_0687/klagomålsmail/A 27834-2020 FSC-klagomål mail.docx", "A 27834-2020")</f>
        <v/>
      </c>
      <c r="X251">
        <f>HYPERLINK("https://klasma.github.io/Logging_0687/tillsyn/A 27834-2020 tillsynsbegäran.docx", "A 27834-2020")</f>
        <v/>
      </c>
      <c r="Y251">
        <f>HYPERLINK("https://klasma.github.io/Logging_0687/tillsynsmail/A 27834-2020 tillsynsbegäran mail.docx", "A 27834-2020")</f>
        <v/>
      </c>
    </row>
    <row r="252" ht="15" customHeight="1">
      <c r="A252" t="inlineStr">
        <is>
          <t>A 27698-2020</t>
        </is>
      </c>
      <c r="B252" s="1" t="n">
        <v>43994</v>
      </c>
      <c r="C252" s="1" t="n">
        <v>45716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Gullklöver</t>
        </is>
      </c>
      <c r="S252">
        <f>HYPERLINK("https://klasma.github.io/Logging_0686/artfynd/A 27698-2020 artfynd.xlsx", "A 27698-2020")</f>
        <v/>
      </c>
      <c r="T252">
        <f>HYPERLINK("https://klasma.github.io/Logging_0686/kartor/A 27698-2020 karta.png", "A 27698-2020")</f>
        <v/>
      </c>
      <c r="V252">
        <f>HYPERLINK("https://klasma.github.io/Logging_0686/klagomål/A 27698-2020 FSC-klagomål.docx", "A 27698-2020")</f>
        <v/>
      </c>
      <c r="W252">
        <f>HYPERLINK("https://klasma.github.io/Logging_0686/klagomålsmail/A 27698-2020 FSC-klagomål mail.docx", "A 27698-2020")</f>
        <v/>
      </c>
      <c r="X252">
        <f>HYPERLINK("https://klasma.github.io/Logging_0686/tillsyn/A 27698-2020 tillsynsbegäran.docx", "A 27698-2020")</f>
        <v/>
      </c>
      <c r="Y252">
        <f>HYPERLINK("https://klasma.github.io/Logging_0686/tillsynsmail/A 27698-2020 tillsynsbegäran mail.docx", "A 27698-2020")</f>
        <v/>
      </c>
    </row>
    <row r="253" ht="15" customHeight="1">
      <c r="A253" t="inlineStr">
        <is>
          <t>A 32870-2020</t>
        </is>
      </c>
      <c r="B253" s="1" t="n">
        <v>44018</v>
      </c>
      <c r="C253" s="1" t="n">
        <v>45716</v>
      </c>
      <c r="D253" t="inlineStr">
        <is>
          <t>JÖNKÖPINGS LÄN</t>
        </is>
      </c>
      <c r="E253" t="inlineStr">
        <is>
          <t>VETLANDA</t>
        </is>
      </c>
      <c r="F253" t="inlineStr">
        <is>
          <t>Kyrkan</t>
        </is>
      </c>
      <c r="G253" t="n">
        <v>2.5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32870-2020 artfynd.xlsx", "A 32870-2020")</f>
        <v/>
      </c>
      <c r="T253">
        <f>HYPERLINK("https://klasma.github.io/Logging_0685/kartor/A 32870-2020 karta.png", "A 32870-2020")</f>
        <v/>
      </c>
      <c r="U253">
        <f>HYPERLINK("https://klasma.github.io/Logging_0685/knärot/A 32870-2020 karta knärot.png", "A 32870-2020")</f>
        <v/>
      </c>
      <c r="V253">
        <f>HYPERLINK("https://klasma.github.io/Logging_0685/klagomål/A 32870-2020 FSC-klagomål.docx", "A 32870-2020")</f>
        <v/>
      </c>
      <c r="W253">
        <f>HYPERLINK("https://klasma.github.io/Logging_0685/klagomålsmail/A 32870-2020 FSC-klagomål mail.docx", "A 32870-2020")</f>
        <v/>
      </c>
      <c r="X253">
        <f>HYPERLINK("https://klasma.github.io/Logging_0685/tillsyn/A 32870-2020 tillsynsbegäran.docx", "A 32870-2020")</f>
        <v/>
      </c>
      <c r="Y253">
        <f>HYPERLINK("https://klasma.github.io/Logging_0685/tillsynsmail/A 32870-2020 tillsynsbegäran mail.docx", "A 32870-2020")</f>
        <v/>
      </c>
    </row>
    <row r="254" ht="15" customHeight="1">
      <c r="A254" t="inlineStr">
        <is>
          <t>A 36238-2020</t>
        </is>
      </c>
      <c r="B254" s="1" t="n">
        <v>44018</v>
      </c>
      <c r="C254" s="1" t="n">
        <v>45716</v>
      </c>
      <c r="D254" t="inlineStr">
        <is>
          <t>JÖNKÖPINGS LÄN</t>
        </is>
      </c>
      <c r="E254" t="inlineStr">
        <is>
          <t>JÖNKÖPING</t>
        </is>
      </c>
      <c r="G254" t="n">
        <v>15.6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HYPERLINK("https://klasma.github.io/Logging_0680/artfynd/A 36238-2020 artfynd.xlsx", "A 36238-2020")</f>
        <v/>
      </c>
      <c r="T254">
        <f>HYPERLINK("https://klasma.github.io/Logging_0680/kartor/A 36238-2020 karta.png", "A 36238-2020")</f>
        <v/>
      </c>
      <c r="V254">
        <f>HYPERLINK("https://klasma.github.io/Logging_0680/klagomål/A 36238-2020 FSC-klagomål.docx", "A 36238-2020")</f>
        <v/>
      </c>
      <c r="W254">
        <f>HYPERLINK("https://klasma.github.io/Logging_0680/klagomålsmail/A 36238-2020 FSC-klagomål mail.docx", "A 36238-2020")</f>
        <v/>
      </c>
      <c r="X254">
        <f>HYPERLINK("https://klasma.github.io/Logging_0680/tillsyn/A 36238-2020 tillsynsbegäran.docx", "A 36238-2020")</f>
        <v/>
      </c>
      <c r="Y254">
        <f>HYPERLINK("https://klasma.github.io/Logging_0680/tillsynsmail/A 36238-2020 tillsynsbegäran mail.docx", "A 36238-2020")</f>
        <v/>
      </c>
    </row>
    <row r="255" ht="15" customHeight="1">
      <c r="A255" t="inlineStr">
        <is>
          <t>A 36801-2020</t>
        </is>
      </c>
      <c r="B255" s="1" t="n">
        <v>44053</v>
      </c>
      <c r="C255" s="1" t="n">
        <v>45716</v>
      </c>
      <c r="D255" t="inlineStr">
        <is>
          <t>JÖNKÖPINGS LÄN</t>
        </is>
      </c>
      <c r="E255" t="inlineStr">
        <is>
          <t>VETLANDA</t>
        </is>
      </c>
      <c r="G255" t="n">
        <v>2.4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36801-2020 artfynd.xlsx", "A 36801-2020")</f>
        <v/>
      </c>
      <c r="T255">
        <f>HYPERLINK("https://klasma.github.io/Logging_0685/kartor/A 36801-2020 karta.png", "A 36801-2020")</f>
        <v/>
      </c>
      <c r="V255">
        <f>HYPERLINK("https://klasma.github.io/Logging_0685/klagomål/A 36801-2020 FSC-klagomål.docx", "A 36801-2020")</f>
        <v/>
      </c>
      <c r="W255">
        <f>HYPERLINK("https://klasma.github.io/Logging_0685/klagomålsmail/A 36801-2020 FSC-klagomål mail.docx", "A 36801-2020")</f>
        <v/>
      </c>
      <c r="X255">
        <f>HYPERLINK("https://klasma.github.io/Logging_0685/tillsyn/A 36801-2020 tillsynsbegäran.docx", "A 36801-2020")</f>
        <v/>
      </c>
      <c r="Y255">
        <f>HYPERLINK("https://klasma.github.io/Logging_0685/tillsynsmail/A 36801-2020 tillsynsbegäran mail.docx", "A 36801-2020")</f>
        <v/>
      </c>
    </row>
    <row r="256" ht="15" customHeight="1">
      <c r="A256" t="inlineStr">
        <is>
          <t>A 39588-2020</t>
        </is>
      </c>
      <c r="B256" s="1" t="n">
        <v>44064</v>
      </c>
      <c r="C256" s="1" t="n">
        <v>45716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39588-2020 artfynd.xlsx", "A 39588-2020")</f>
        <v/>
      </c>
      <c r="T256">
        <f>HYPERLINK("https://klasma.github.io/Logging_0685/kartor/A 39588-2020 karta.png", "A 39588-2020")</f>
        <v/>
      </c>
      <c r="V256">
        <f>HYPERLINK("https://klasma.github.io/Logging_0685/klagomål/A 39588-2020 FSC-klagomål.docx", "A 39588-2020")</f>
        <v/>
      </c>
      <c r="W256">
        <f>HYPERLINK("https://klasma.github.io/Logging_0685/klagomålsmail/A 39588-2020 FSC-klagomål mail.docx", "A 39588-2020")</f>
        <v/>
      </c>
      <c r="X256">
        <f>HYPERLINK("https://klasma.github.io/Logging_0685/tillsyn/A 39588-2020 tillsynsbegäran.docx", "A 39588-2020")</f>
        <v/>
      </c>
      <c r="Y256">
        <f>HYPERLINK("https://klasma.github.io/Logging_0685/tillsynsmail/A 39588-2020 tillsynsbegäran mail.docx", "A 39588-2020")</f>
        <v/>
      </c>
    </row>
    <row r="257" ht="15" customHeight="1">
      <c r="A257" t="inlineStr">
        <is>
          <t>A 44144-2020</t>
        </is>
      </c>
      <c r="B257" s="1" t="n">
        <v>44083</v>
      </c>
      <c r="C257" s="1" t="n">
        <v>45716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Kommuner</t>
        </is>
      </c>
      <c r="G257" t="n">
        <v>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Mattlummer</t>
        </is>
      </c>
      <c r="S257">
        <f>HYPERLINK("https://klasma.github.io/Logging_0680/artfynd/A 44144-2020 artfynd.xlsx", "A 44144-2020")</f>
        <v/>
      </c>
      <c r="T257">
        <f>HYPERLINK("https://klasma.github.io/Logging_0680/kartor/A 44144-2020 karta.png", "A 44144-2020")</f>
        <v/>
      </c>
      <c r="V257">
        <f>HYPERLINK("https://klasma.github.io/Logging_0680/klagomål/A 44144-2020 FSC-klagomål.docx", "A 44144-2020")</f>
        <v/>
      </c>
      <c r="W257">
        <f>HYPERLINK("https://klasma.github.io/Logging_0680/klagomålsmail/A 44144-2020 FSC-klagomål mail.docx", "A 44144-2020")</f>
        <v/>
      </c>
      <c r="X257">
        <f>HYPERLINK("https://klasma.github.io/Logging_0680/tillsyn/A 44144-2020 tillsynsbegäran.docx", "A 44144-2020")</f>
        <v/>
      </c>
      <c r="Y257">
        <f>HYPERLINK("https://klasma.github.io/Logging_0680/tillsynsmail/A 44144-2020 tillsynsbegäran mail.docx", "A 44144-2020")</f>
        <v/>
      </c>
    </row>
    <row r="258" ht="15" customHeight="1">
      <c r="A258" t="inlineStr">
        <is>
          <t>A 46552-2020</t>
        </is>
      </c>
      <c r="B258" s="1" t="n">
        <v>44095</v>
      </c>
      <c r="C258" s="1" t="n">
        <v>45716</v>
      </c>
      <c r="D258" t="inlineStr">
        <is>
          <t>JÖNKÖPINGS LÄN</t>
        </is>
      </c>
      <c r="E258" t="inlineStr">
        <is>
          <t>JÖNKÖPING</t>
        </is>
      </c>
      <c r="G258" t="n">
        <v>1.8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Granspira</t>
        </is>
      </c>
      <c r="S258">
        <f>HYPERLINK("https://klasma.github.io/Logging_0680/artfynd/A 46552-2020 artfynd.xlsx", "A 46552-2020")</f>
        <v/>
      </c>
      <c r="T258">
        <f>HYPERLINK("https://klasma.github.io/Logging_0680/kartor/A 46552-2020 karta.png", "A 46552-2020")</f>
        <v/>
      </c>
      <c r="V258">
        <f>HYPERLINK("https://klasma.github.io/Logging_0680/klagomål/A 46552-2020 FSC-klagomål.docx", "A 46552-2020")</f>
        <v/>
      </c>
      <c r="W258">
        <f>HYPERLINK("https://klasma.github.io/Logging_0680/klagomålsmail/A 46552-2020 FSC-klagomål mail.docx", "A 46552-2020")</f>
        <v/>
      </c>
      <c r="X258">
        <f>HYPERLINK("https://klasma.github.io/Logging_0680/tillsyn/A 46552-2020 tillsynsbegäran.docx", "A 46552-2020")</f>
        <v/>
      </c>
      <c r="Y258">
        <f>HYPERLINK("https://klasma.github.io/Logging_0680/tillsynsmail/A 46552-2020 tillsynsbegäran mail.docx", "A 46552-2020")</f>
        <v/>
      </c>
    </row>
    <row r="259" ht="15" customHeight="1">
      <c r="A259" t="inlineStr">
        <is>
          <t>A 51106-2020</t>
        </is>
      </c>
      <c r="B259" s="1" t="n">
        <v>44112</v>
      </c>
      <c r="C259" s="1" t="n">
        <v>45716</v>
      </c>
      <c r="D259" t="inlineStr">
        <is>
          <t>JÖNKÖPINGS LÄN</t>
        </is>
      </c>
      <c r="E259" t="inlineStr">
        <is>
          <t>ANEBY</t>
        </is>
      </c>
      <c r="G259" t="n">
        <v>2.6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Ögonpyrola</t>
        </is>
      </c>
      <c r="S259">
        <f>HYPERLINK("https://klasma.github.io/Logging_0604/artfynd/A 51106-2020 artfynd.xlsx", "A 51106-2020")</f>
        <v/>
      </c>
      <c r="T259">
        <f>HYPERLINK("https://klasma.github.io/Logging_0604/kartor/A 51106-2020 karta.png", "A 51106-2020")</f>
        <v/>
      </c>
      <c r="V259">
        <f>HYPERLINK("https://klasma.github.io/Logging_0604/klagomål/A 51106-2020 FSC-klagomål.docx", "A 51106-2020")</f>
        <v/>
      </c>
      <c r="W259">
        <f>HYPERLINK("https://klasma.github.io/Logging_0604/klagomålsmail/A 51106-2020 FSC-klagomål mail.docx", "A 51106-2020")</f>
        <v/>
      </c>
      <c r="X259">
        <f>HYPERLINK("https://klasma.github.io/Logging_0604/tillsyn/A 51106-2020 tillsynsbegäran.docx", "A 51106-2020")</f>
        <v/>
      </c>
      <c r="Y259">
        <f>HYPERLINK("https://klasma.github.io/Logging_0604/tillsynsmail/A 51106-2020 tillsynsbegäran mail.docx", "A 51106-2020")</f>
        <v/>
      </c>
    </row>
    <row r="260" ht="15" customHeight="1">
      <c r="A260" t="inlineStr">
        <is>
          <t>A 51215-2020</t>
        </is>
      </c>
      <c r="B260" s="1" t="n">
        <v>44112</v>
      </c>
      <c r="C260" s="1" t="n">
        <v>45716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Storkorgsfibbla</t>
        </is>
      </c>
      <c r="S260">
        <f>HYPERLINK("https://klasma.github.io/Logging_0687/artfynd/A 51215-2020 artfynd.xlsx", "A 51215-2020")</f>
        <v/>
      </c>
      <c r="T260">
        <f>HYPERLINK("https://klasma.github.io/Logging_0687/kartor/A 51215-2020 karta.png", "A 51215-2020")</f>
        <v/>
      </c>
      <c r="V260">
        <f>HYPERLINK("https://klasma.github.io/Logging_0687/klagomål/A 51215-2020 FSC-klagomål.docx", "A 51215-2020")</f>
        <v/>
      </c>
      <c r="W260">
        <f>HYPERLINK("https://klasma.github.io/Logging_0687/klagomålsmail/A 51215-2020 FSC-klagomål mail.docx", "A 51215-2020")</f>
        <v/>
      </c>
      <c r="X260">
        <f>HYPERLINK("https://klasma.github.io/Logging_0687/tillsyn/A 51215-2020 tillsynsbegäran.docx", "A 51215-2020")</f>
        <v/>
      </c>
      <c r="Y260">
        <f>HYPERLINK("https://klasma.github.io/Logging_0687/tillsynsmail/A 51215-2020 tillsynsbegäran mail.docx", "A 51215-2020")</f>
        <v/>
      </c>
    </row>
    <row r="261" ht="15" customHeight="1">
      <c r="A261" t="inlineStr">
        <is>
          <t>A 56911-2020</t>
        </is>
      </c>
      <c r="B261" s="1" t="n">
        <v>44138</v>
      </c>
      <c r="C261" s="1" t="n">
        <v>45716</v>
      </c>
      <c r="D261" t="inlineStr">
        <is>
          <t>JÖNKÖPINGS LÄN</t>
        </is>
      </c>
      <c r="E261" t="inlineStr">
        <is>
          <t>VAGGERYD</t>
        </is>
      </c>
      <c r="F261" t="inlineStr">
        <is>
          <t>Övriga statliga verk och myndigheter</t>
        </is>
      </c>
      <c r="G261" t="n">
        <v>11.4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Kopparödla</t>
        </is>
      </c>
      <c r="S261">
        <f>HYPERLINK("https://klasma.github.io/Logging_0665/artfynd/A 56911-2020 artfynd.xlsx", "A 56911-2020")</f>
        <v/>
      </c>
      <c r="T261">
        <f>HYPERLINK("https://klasma.github.io/Logging_0665/kartor/A 56911-2020 karta.png", "A 56911-2020")</f>
        <v/>
      </c>
      <c r="V261">
        <f>HYPERLINK("https://klasma.github.io/Logging_0665/klagomål/A 56911-2020 FSC-klagomål.docx", "A 56911-2020")</f>
        <v/>
      </c>
      <c r="W261">
        <f>HYPERLINK("https://klasma.github.io/Logging_0665/klagomålsmail/A 56911-2020 FSC-klagomål mail.docx", "A 56911-2020")</f>
        <v/>
      </c>
      <c r="X261">
        <f>HYPERLINK("https://klasma.github.io/Logging_0665/tillsyn/A 56911-2020 tillsynsbegäran.docx", "A 56911-2020")</f>
        <v/>
      </c>
      <c r="Y261">
        <f>HYPERLINK("https://klasma.github.io/Logging_0665/tillsynsmail/A 56911-2020 tillsynsbegäran mail.docx", "A 56911-2020")</f>
        <v/>
      </c>
    </row>
    <row r="262" ht="15" customHeight="1">
      <c r="A262" t="inlineStr">
        <is>
          <t>A 60658-2020</t>
        </is>
      </c>
      <c r="B262" s="1" t="n">
        <v>44153</v>
      </c>
      <c r="C262" s="1" t="n">
        <v>45716</v>
      </c>
      <c r="D262" t="inlineStr">
        <is>
          <t>JÖNKÖPINGS LÄN</t>
        </is>
      </c>
      <c r="E262" t="inlineStr">
        <is>
          <t>TRANÅS</t>
        </is>
      </c>
      <c r="G262" t="n">
        <v>2.1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HYPERLINK("https://klasma.github.io/Logging_0687/artfynd/A 60658-2020 artfynd.xlsx", "A 60658-2020")</f>
        <v/>
      </c>
      <c r="T262">
        <f>HYPERLINK("https://klasma.github.io/Logging_0687/kartor/A 60658-2020 karta.png", "A 60658-2020")</f>
        <v/>
      </c>
      <c r="V262">
        <f>HYPERLINK("https://klasma.github.io/Logging_0687/klagomål/A 60658-2020 FSC-klagomål.docx", "A 60658-2020")</f>
        <v/>
      </c>
      <c r="W262">
        <f>HYPERLINK("https://klasma.github.io/Logging_0687/klagomålsmail/A 60658-2020 FSC-klagomål mail.docx", "A 60658-2020")</f>
        <v/>
      </c>
      <c r="X262">
        <f>HYPERLINK("https://klasma.github.io/Logging_0687/tillsyn/A 60658-2020 tillsynsbegäran.docx", "A 60658-2020")</f>
        <v/>
      </c>
      <c r="Y262">
        <f>HYPERLINK("https://klasma.github.io/Logging_0687/tillsynsmail/A 60658-2020 tillsynsbegäran mail.docx", "A 60658-2020")</f>
        <v/>
      </c>
    </row>
    <row r="263" ht="15" customHeight="1">
      <c r="A263" t="inlineStr">
        <is>
          <t>A 69070-2020</t>
        </is>
      </c>
      <c r="B263" s="1" t="n">
        <v>44187</v>
      </c>
      <c r="C263" s="1" t="n">
        <v>45716</v>
      </c>
      <c r="D263" t="inlineStr">
        <is>
          <t>JÖNKÖPINGS LÄN</t>
        </is>
      </c>
      <c r="E263" t="inlineStr">
        <is>
          <t>VETLANDA</t>
        </is>
      </c>
      <c r="G263" t="n">
        <v>4.2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Gropticka</t>
        </is>
      </c>
      <c r="S263">
        <f>HYPERLINK("https://klasma.github.io/Logging_0685/artfynd/A 69070-2020 artfynd.xlsx", "A 69070-2020")</f>
        <v/>
      </c>
      <c r="T263">
        <f>HYPERLINK("https://klasma.github.io/Logging_0685/kartor/A 69070-2020 karta.png", "A 69070-2020")</f>
        <v/>
      </c>
      <c r="V263">
        <f>HYPERLINK("https://klasma.github.io/Logging_0685/klagomål/A 69070-2020 FSC-klagomål.docx", "A 69070-2020")</f>
        <v/>
      </c>
      <c r="W263">
        <f>HYPERLINK("https://klasma.github.io/Logging_0685/klagomålsmail/A 69070-2020 FSC-klagomål mail.docx", "A 69070-2020")</f>
        <v/>
      </c>
      <c r="X263">
        <f>HYPERLINK("https://klasma.github.io/Logging_0685/tillsyn/A 69070-2020 tillsynsbegäran.docx", "A 69070-2020")</f>
        <v/>
      </c>
      <c r="Y263">
        <f>HYPERLINK("https://klasma.github.io/Logging_0685/tillsynsmail/A 69070-2020 tillsynsbegäran mail.docx", "A 69070-2020")</f>
        <v/>
      </c>
    </row>
    <row r="264" ht="15" customHeight="1">
      <c r="A264" t="inlineStr">
        <is>
          <t>A 1319-2021</t>
        </is>
      </c>
      <c r="B264" s="1" t="n">
        <v>44208</v>
      </c>
      <c r="C264" s="1" t="n">
        <v>45716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Backtimjan</t>
        </is>
      </c>
      <c r="S264">
        <f>HYPERLINK("https://klasma.github.io/Logging_0662/artfynd/A 1319-2021 artfynd.xlsx", "A 1319-2021")</f>
        <v/>
      </c>
      <c r="T264">
        <f>HYPERLINK("https://klasma.github.io/Logging_0662/kartor/A 1319-2021 karta.png", "A 1319-2021")</f>
        <v/>
      </c>
      <c r="V264">
        <f>HYPERLINK("https://klasma.github.io/Logging_0662/klagomål/A 1319-2021 FSC-klagomål.docx", "A 1319-2021")</f>
        <v/>
      </c>
      <c r="W264">
        <f>HYPERLINK("https://klasma.github.io/Logging_0662/klagomålsmail/A 1319-2021 FSC-klagomål mail.docx", "A 1319-2021")</f>
        <v/>
      </c>
      <c r="X264">
        <f>HYPERLINK("https://klasma.github.io/Logging_0662/tillsyn/A 1319-2021 tillsynsbegäran.docx", "A 1319-2021")</f>
        <v/>
      </c>
      <c r="Y264">
        <f>HYPERLINK("https://klasma.github.io/Logging_0662/tillsynsmail/A 1319-2021 tillsynsbegäran mail.docx", "A 1319-2021")</f>
        <v/>
      </c>
    </row>
    <row r="265" ht="15" customHeight="1">
      <c r="A265" t="inlineStr">
        <is>
          <t>A 1512-2021</t>
        </is>
      </c>
      <c r="B265" s="1" t="n">
        <v>44209</v>
      </c>
      <c r="C265" s="1" t="n">
        <v>45716</v>
      </c>
      <c r="D265" t="inlineStr">
        <is>
          <t>JÖNKÖPINGS LÄN</t>
        </is>
      </c>
      <c r="E265" t="inlineStr">
        <is>
          <t>NÄSSJÖ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Månlåsbräken</t>
        </is>
      </c>
      <c r="S265">
        <f>HYPERLINK("https://klasma.github.io/Logging_0682/artfynd/A 1512-2021 artfynd.xlsx", "A 1512-2021")</f>
        <v/>
      </c>
      <c r="T265">
        <f>HYPERLINK("https://klasma.github.io/Logging_0682/kartor/A 1512-2021 karta.png", "A 1512-2021")</f>
        <v/>
      </c>
      <c r="V265">
        <f>HYPERLINK("https://klasma.github.io/Logging_0682/klagomål/A 1512-2021 FSC-klagomål.docx", "A 1512-2021")</f>
        <v/>
      </c>
      <c r="W265">
        <f>HYPERLINK("https://klasma.github.io/Logging_0682/klagomålsmail/A 1512-2021 FSC-klagomål mail.docx", "A 1512-2021")</f>
        <v/>
      </c>
      <c r="X265">
        <f>HYPERLINK("https://klasma.github.io/Logging_0682/tillsyn/A 1512-2021 tillsynsbegäran.docx", "A 1512-2021")</f>
        <v/>
      </c>
      <c r="Y265">
        <f>HYPERLINK("https://klasma.github.io/Logging_0682/tillsynsmail/A 1512-2021 tillsynsbegäran mail.docx", "A 1512-2021")</f>
        <v/>
      </c>
    </row>
    <row r="266" ht="15" customHeight="1">
      <c r="A266" t="inlineStr">
        <is>
          <t>A 5211-2021</t>
        </is>
      </c>
      <c r="B266" s="1" t="n">
        <v>44229</v>
      </c>
      <c r="C266" s="1" t="n">
        <v>45716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Slåttergubbe</t>
        </is>
      </c>
      <c r="S266">
        <f>HYPERLINK("https://klasma.github.io/Logging_0685/artfynd/A 5211-2021 artfynd.xlsx", "A 5211-2021")</f>
        <v/>
      </c>
      <c r="T266">
        <f>HYPERLINK("https://klasma.github.io/Logging_0685/kartor/A 5211-2021 karta.png", "A 5211-2021")</f>
        <v/>
      </c>
      <c r="V266">
        <f>HYPERLINK("https://klasma.github.io/Logging_0685/klagomål/A 5211-2021 FSC-klagomål.docx", "A 5211-2021")</f>
        <v/>
      </c>
      <c r="W266">
        <f>HYPERLINK("https://klasma.github.io/Logging_0685/klagomålsmail/A 5211-2021 FSC-klagomål mail.docx", "A 5211-2021")</f>
        <v/>
      </c>
      <c r="X266">
        <f>HYPERLINK("https://klasma.github.io/Logging_0685/tillsyn/A 5211-2021 tillsynsbegäran.docx", "A 5211-2021")</f>
        <v/>
      </c>
      <c r="Y266">
        <f>HYPERLINK("https://klasma.github.io/Logging_0685/tillsynsmail/A 5211-2021 tillsynsbegäran mail.docx", "A 5211-2021")</f>
        <v/>
      </c>
    </row>
    <row r="267" ht="15" customHeight="1">
      <c r="A267" t="inlineStr">
        <is>
          <t>A 7365-2021</t>
        </is>
      </c>
      <c r="B267" s="1" t="n">
        <v>44239</v>
      </c>
      <c r="C267" s="1" t="n">
        <v>45716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Dvärghäxört</t>
        </is>
      </c>
      <c r="S267">
        <f>HYPERLINK("https://klasma.github.io/Logging_0687/artfynd/A 7365-2021 artfynd.xlsx", "A 7365-2021")</f>
        <v/>
      </c>
      <c r="T267">
        <f>HYPERLINK("https://klasma.github.io/Logging_0687/kartor/A 7365-2021 karta.png", "A 7365-2021")</f>
        <v/>
      </c>
      <c r="V267">
        <f>HYPERLINK("https://klasma.github.io/Logging_0687/klagomål/A 7365-2021 FSC-klagomål.docx", "A 7365-2021")</f>
        <v/>
      </c>
      <c r="W267">
        <f>HYPERLINK("https://klasma.github.io/Logging_0687/klagomålsmail/A 7365-2021 FSC-klagomål mail.docx", "A 7365-2021")</f>
        <v/>
      </c>
      <c r="X267">
        <f>HYPERLINK("https://klasma.github.io/Logging_0687/tillsyn/A 7365-2021 tillsynsbegäran.docx", "A 7365-2021")</f>
        <v/>
      </c>
      <c r="Y267">
        <f>HYPERLINK("https://klasma.github.io/Logging_0687/tillsynsmail/A 7365-2021 tillsynsbegäran mail.docx", "A 7365-2021")</f>
        <v/>
      </c>
    </row>
    <row r="268" ht="15" customHeight="1">
      <c r="A268" t="inlineStr">
        <is>
          <t>A 11278-2021</t>
        </is>
      </c>
      <c r="B268" s="1" t="n">
        <v>44262</v>
      </c>
      <c r="C268" s="1" t="n">
        <v>45716</v>
      </c>
      <c r="D268" t="inlineStr">
        <is>
          <t>JÖNKÖPINGS LÄN</t>
        </is>
      </c>
      <c r="E268" t="inlineStr">
        <is>
          <t>TRANÅS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Skogsalm</t>
        </is>
      </c>
      <c r="S268">
        <f>HYPERLINK("https://klasma.github.io/Logging_0687/artfynd/A 11278-2021 artfynd.xlsx", "A 11278-2021")</f>
        <v/>
      </c>
      <c r="T268">
        <f>HYPERLINK("https://klasma.github.io/Logging_0687/kartor/A 11278-2021 karta.png", "A 11278-2021")</f>
        <v/>
      </c>
      <c r="V268">
        <f>HYPERLINK("https://klasma.github.io/Logging_0687/klagomål/A 11278-2021 FSC-klagomål.docx", "A 11278-2021")</f>
        <v/>
      </c>
      <c r="W268">
        <f>HYPERLINK("https://klasma.github.io/Logging_0687/klagomålsmail/A 11278-2021 FSC-klagomål mail.docx", "A 11278-2021")</f>
        <v/>
      </c>
      <c r="X268">
        <f>HYPERLINK("https://klasma.github.io/Logging_0687/tillsyn/A 11278-2021 tillsynsbegäran.docx", "A 11278-2021")</f>
        <v/>
      </c>
      <c r="Y268">
        <f>HYPERLINK("https://klasma.github.io/Logging_0687/tillsynsmail/A 11278-2021 tillsynsbegäran mail.docx", "A 11278-2021")</f>
        <v/>
      </c>
    </row>
    <row r="269" ht="15" customHeight="1">
      <c r="A269" t="inlineStr">
        <is>
          <t>A 14138-2021</t>
        </is>
      </c>
      <c r="B269" s="1" t="n">
        <v>44278</v>
      </c>
      <c r="C269" s="1" t="n">
        <v>45716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HYPERLINK("https://klasma.github.io/Logging_0680/artfynd/A 14138-2021 artfynd.xlsx", "A 14138-2021")</f>
        <v/>
      </c>
      <c r="T269">
        <f>HYPERLINK("https://klasma.github.io/Logging_0680/kartor/A 14138-2021 karta.png", "A 14138-2021")</f>
        <v/>
      </c>
      <c r="V269">
        <f>HYPERLINK("https://klasma.github.io/Logging_0680/klagomål/A 14138-2021 FSC-klagomål.docx", "A 14138-2021")</f>
        <v/>
      </c>
      <c r="W269">
        <f>HYPERLINK("https://klasma.github.io/Logging_0680/klagomålsmail/A 14138-2021 FSC-klagomål mail.docx", "A 14138-2021")</f>
        <v/>
      </c>
      <c r="X269">
        <f>HYPERLINK("https://klasma.github.io/Logging_0680/tillsyn/A 14138-2021 tillsynsbegäran.docx", "A 14138-2021")</f>
        <v/>
      </c>
      <c r="Y269">
        <f>HYPERLINK("https://klasma.github.io/Logging_0680/tillsynsmail/A 14138-2021 tillsynsbegäran mail.docx", "A 14138-2021")</f>
        <v/>
      </c>
    </row>
    <row r="270" ht="15" customHeight="1">
      <c r="A270" t="inlineStr">
        <is>
          <t>A 14385-2021</t>
        </is>
      </c>
      <c r="B270" s="1" t="n">
        <v>44279</v>
      </c>
      <c r="C270" s="1" t="n">
        <v>45716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HYPERLINK("https://klasma.github.io/Logging_0685/artfynd/A 14385-2021 artfynd.xlsx", "A 14385-2021")</f>
        <v/>
      </c>
      <c r="T270">
        <f>HYPERLINK("https://klasma.github.io/Logging_0685/kartor/A 14385-2021 karta.png", "A 14385-2021")</f>
        <v/>
      </c>
      <c r="V270">
        <f>HYPERLINK("https://klasma.github.io/Logging_0685/klagomål/A 14385-2021 FSC-klagomål.docx", "A 14385-2021")</f>
        <v/>
      </c>
      <c r="W270">
        <f>HYPERLINK("https://klasma.github.io/Logging_0685/klagomålsmail/A 14385-2021 FSC-klagomål mail.docx", "A 14385-2021")</f>
        <v/>
      </c>
      <c r="X270">
        <f>HYPERLINK("https://klasma.github.io/Logging_0685/tillsyn/A 14385-2021 tillsynsbegäran.docx", "A 14385-2021")</f>
        <v/>
      </c>
      <c r="Y270">
        <f>HYPERLINK("https://klasma.github.io/Logging_0685/tillsynsmail/A 14385-2021 tillsynsbegäran mail.docx", "A 14385-2021")</f>
        <v/>
      </c>
    </row>
    <row r="271" ht="15" customHeight="1">
      <c r="A271" t="inlineStr">
        <is>
          <t>A 18270-2021</t>
        </is>
      </c>
      <c r="B271" s="1" t="n">
        <v>44305</v>
      </c>
      <c r="C271" s="1" t="n">
        <v>45716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HYPERLINK("https://klasma.github.io/Logging_0685/artfynd/A 18270-2021 artfynd.xlsx", "A 18270-2021")</f>
        <v/>
      </c>
      <c r="T271">
        <f>HYPERLINK("https://klasma.github.io/Logging_0685/kartor/A 18270-2021 karta.png", "A 18270-2021")</f>
        <v/>
      </c>
      <c r="V271">
        <f>HYPERLINK("https://klasma.github.io/Logging_0685/klagomål/A 18270-2021 FSC-klagomål.docx", "A 18270-2021")</f>
        <v/>
      </c>
      <c r="W271">
        <f>HYPERLINK("https://klasma.github.io/Logging_0685/klagomålsmail/A 18270-2021 FSC-klagomål mail.docx", "A 18270-2021")</f>
        <v/>
      </c>
      <c r="X271">
        <f>HYPERLINK("https://klasma.github.io/Logging_0685/tillsyn/A 18270-2021 tillsynsbegäran.docx", "A 18270-2021")</f>
        <v/>
      </c>
      <c r="Y271">
        <f>HYPERLINK("https://klasma.github.io/Logging_0685/tillsynsmail/A 18270-2021 tillsynsbegäran mail.docx", "A 18270-2021")</f>
        <v/>
      </c>
    </row>
    <row r="272" ht="15" customHeight="1">
      <c r="A272" t="inlineStr">
        <is>
          <t>A 26049-2021</t>
        </is>
      </c>
      <c r="B272" s="1" t="n">
        <v>44344</v>
      </c>
      <c r="C272" s="1" t="n">
        <v>45716</v>
      </c>
      <c r="D272" t="inlineStr">
        <is>
          <t>JÖNKÖPINGS LÄN</t>
        </is>
      </c>
      <c r="E272" t="inlineStr">
        <is>
          <t>VAGGERYD</t>
        </is>
      </c>
      <c r="G272" t="n">
        <v>7.1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Kungsörn</t>
        </is>
      </c>
      <c r="S272">
        <f>HYPERLINK("https://klasma.github.io/Logging_0665/artfynd/A 26049-2021 artfynd.xlsx", "A 26049-2021")</f>
        <v/>
      </c>
      <c r="T272">
        <f>HYPERLINK("https://klasma.github.io/Logging_0665/kartor/A 26049-2021 karta.png", "A 26049-2021")</f>
        <v/>
      </c>
      <c r="V272">
        <f>HYPERLINK("https://klasma.github.io/Logging_0665/klagomål/A 26049-2021 FSC-klagomål.docx", "A 26049-2021")</f>
        <v/>
      </c>
      <c r="W272">
        <f>HYPERLINK("https://klasma.github.io/Logging_0665/klagomålsmail/A 26049-2021 FSC-klagomål mail.docx", "A 26049-2021")</f>
        <v/>
      </c>
      <c r="X272">
        <f>HYPERLINK("https://klasma.github.io/Logging_0665/tillsyn/A 26049-2021 tillsynsbegäran.docx", "A 26049-2021")</f>
        <v/>
      </c>
      <c r="Y272">
        <f>HYPERLINK("https://klasma.github.io/Logging_0665/tillsynsmail/A 26049-2021 tillsynsbegäran mail.docx", "A 26049-2021")</f>
        <v/>
      </c>
      <c r="Z272">
        <f>HYPERLINK("https://klasma.github.io/Logging_0665/fåglar/A 26049-2021 prioriterade fågelarter.docx", "A 26049-2021")</f>
        <v/>
      </c>
    </row>
    <row r="273" ht="15" customHeight="1">
      <c r="A273" t="inlineStr">
        <is>
          <t>A 26343-2021</t>
        </is>
      </c>
      <c r="B273" s="1" t="n">
        <v>44347</v>
      </c>
      <c r="C273" s="1" t="n">
        <v>45716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Dvärghäxört</t>
        </is>
      </c>
      <c r="S273">
        <f>HYPERLINK("https://klasma.github.io/Logging_0680/artfynd/A 26343-2021 artfynd.xlsx", "A 26343-2021")</f>
        <v/>
      </c>
      <c r="T273">
        <f>HYPERLINK("https://klasma.github.io/Logging_0680/kartor/A 26343-2021 karta.png", "A 26343-2021")</f>
        <v/>
      </c>
      <c r="V273">
        <f>HYPERLINK("https://klasma.github.io/Logging_0680/klagomål/A 26343-2021 FSC-klagomål.docx", "A 26343-2021")</f>
        <v/>
      </c>
      <c r="W273">
        <f>HYPERLINK("https://klasma.github.io/Logging_0680/klagomålsmail/A 26343-2021 FSC-klagomål mail.docx", "A 26343-2021")</f>
        <v/>
      </c>
      <c r="X273">
        <f>HYPERLINK("https://klasma.github.io/Logging_0680/tillsyn/A 26343-2021 tillsynsbegäran.docx", "A 26343-2021")</f>
        <v/>
      </c>
      <c r="Y273">
        <f>HYPERLINK("https://klasma.github.io/Logging_0680/tillsynsmail/A 26343-2021 tillsynsbegäran mail.docx", "A 26343-2021")</f>
        <v/>
      </c>
    </row>
    <row r="274" ht="15" customHeight="1">
      <c r="A274" t="inlineStr">
        <is>
          <t>A 31630-2021</t>
        </is>
      </c>
      <c r="B274" s="1" t="n">
        <v>44369</v>
      </c>
      <c r="C274" s="1" t="n">
        <v>45716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HYPERLINK("https://klasma.github.io/Logging_0682/artfynd/A 31630-2021 artfynd.xlsx", "A 31630-2021")</f>
        <v/>
      </c>
      <c r="T274">
        <f>HYPERLINK("https://klasma.github.io/Logging_0682/kartor/A 31630-2021 karta.png", "A 31630-2021")</f>
        <v/>
      </c>
      <c r="V274">
        <f>HYPERLINK("https://klasma.github.io/Logging_0682/klagomål/A 31630-2021 FSC-klagomål.docx", "A 31630-2021")</f>
        <v/>
      </c>
      <c r="W274">
        <f>HYPERLINK("https://klasma.github.io/Logging_0682/klagomålsmail/A 31630-2021 FSC-klagomål mail.docx", "A 31630-2021")</f>
        <v/>
      </c>
      <c r="X274">
        <f>HYPERLINK("https://klasma.github.io/Logging_0682/tillsyn/A 31630-2021 tillsynsbegäran.docx", "A 31630-2021")</f>
        <v/>
      </c>
      <c r="Y274">
        <f>HYPERLINK("https://klasma.github.io/Logging_0682/tillsynsmail/A 31630-2021 tillsynsbegäran mail.docx", "A 31630-2021")</f>
        <v/>
      </c>
    </row>
    <row r="275" ht="15" customHeight="1">
      <c r="A275" t="inlineStr">
        <is>
          <t>A 32245-2021</t>
        </is>
      </c>
      <c r="B275" s="1" t="n">
        <v>44371</v>
      </c>
      <c r="C275" s="1" t="n">
        <v>45716</v>
      </c>
      <c r="D275" t="inlineStr">
        <is>
          <t>JÖNKÖPINGS LÄN</t>
        </is>
      </c>
      <c r="E275" t="inlineStr">
        <is>
          <t>NÄSSJÖ</t>
        </is>
      </c>
      <c r="F275" t="inlineStr">
        <is>
          <t>Kommuner</t>
        </is>
      </c>
      <c r="G275" t="n">
        <v>5.2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Svart trolldruva</t>
        </is>
      </c>
      <c r="S275">
        <f>HYPERLINK("https://klasma.github.io/Logging_0682/artfynd/A 32245-2021 artfynd.xlsx", "A 32245-2021")</f>
        <v/>
      </c>
      <c r="T275">
        <f>HYPERLINK("https://klasma.github.io/Logging_0682/kartor/A 32245-2021 karta.png", "A 32245-2021")</f>
        <v/>
      </c>
      <c r="V275">
        <f>HYPERLINK("https://klasma.github.io/Logging_0682/klagomål/A 32245-2021 FSC-klagomål.docx", "A 32245-2021")</f>
        <v/>
      </c>
      <c r="W275">
        <f>HYPERLINK("https://klasma.github.io/Logging_0682/klagomålsmail/A 32245-2021 FSC-klagomål mail.docx", "A 32245-2021")</f>
        <v/>
      </c>
      <c r="X275">
        <f>HYPERLINK("https://klasma.github.io/Logging_0682/tillsyn/A 32245-2021 tillsynsbegäran.docx", "A 32245-2021")</f>
        <v/>
      </c>
      <c r="Y275">
        <f>HYPERLINK("https://klasma.github.io/Logging_0682/tillsynsmail/A 32245-2021 tillsynsbegäran mail.docx", "A 32245-2021")</f>
        <v/>
      </c>
    </row>
    <row r="276" ht="15" customHeight="1">
      <c r="A276" t="inlineStr">
        <is>
          <t>A 38072-2021</t>
        </is>
      </c>
      <c r="B276" s="1" t="n">
        <v>44404</v>
      </c>
      <c r="C276" s="1" t="n">
        <v>45716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HYPERLINK("https://klasma.github.io/Logging_0680/artfynd/A 38072-2021 artfynd.xlsx", "A 38072-2021")</f>
        <v/>
      </c>
      <c r="T276">
        <f>HYPERLINK("https://klasma.github.io/Logging_0680/kartor/A 38072-2021 karta.png", "A 38072-2021")</f>
        <v/>
      </c>
      <c r="V276">
        <f>HYPERLINK("https://klasma.github.io/Logging_0680/klagomål/A 38072-2021 FSC-klagomål.docx", "A 38072-2021")</f>
        <v/>
      </c>
      <c r="W276">
        <f>HYPERLINK("https://klasma.github.io/Logging_0680/klagomålsmail/A 38072-2021 FSC-klagomål mail.docx", "A 38072-2021")</f>
        <v/>
      </c>
      <c r="X276">
        <f>HYPERLINK("https://klasma.github.io/Logging_0680/tillsyn/A 38072-2021 tillsynsbegäran.docx", "A 38072-2021")</f>
        <v/>
      </c>
      <c r="Y276">
        <f>HYPERLINK("https://klasma.github.io/Logging_0680/tillsynsmail/A 38072-2021 tillsynsbegäran mail.docx", "A 38072-2021")</f>
        <v/>
      </c>
    </row>
    <row r="277" ht="15" customHeight="1">
      <c r="A277" t="inlineStr">
        <is>
          <t>A 40268-2021</t>
        </is>
      </c>
      <c r="B277" s="1" t="n">
        <v>44419</v>
      </c>
      <c r="C277" s="1" t="n">
        <v>45716</v>
      </c>
      <c r="D277" t="inlineStr">
        <is>
          <t>JÖNKÖPINGS LÄN</t>
        </is>
      </c>
      <c r="E277" t="inlineStr">
        <is>
          <t>JÖNKÖPING</t>
        </is>
      </c>
      <c r="G277" t="n">
        <v>4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Strutbräken</t>
        </is>
      </c>
      <c r="S277">
        <f>HYPERLINK("https://klasma.github.io/Logging_0680/artfynd/A 40268-2021 artfynd.xlsx", "A 40268-2021")</f>
        <v/>
      </c>
      <c r="T277">
        <f>HYPERLINK("https://klasma.github.io/Logging_0680/kartor/A 40268-2021 karta.png", "A 40268-2021")</f>
        <v/>
      </c>
      <c r="V277">
        <f>HYPERLINK("https://klasma.github.io/Logging_0680/klagomål/A 40268-2021 FSC-klagomål.docx", "A 40268-2021")</f>
        <v/>
      </c>
      <c r="W277">
        <f>HYPERLINK("https://klasma.github.io/Logging_0680/klagomålsmail/A 40268-2021 FSC-klagomål mail.docx", "A 40268-2021")</f>
        <v/>
      </c>
      <c r="X277">
        <f>HYPERLINK("https://klasma.github.io/Logging_0680/tillsyn/A 40268-2021 tillsynsbegäran.docx", "A 40268-2021")</f>
        <v/>
      </c>
      <c r="Y277">
        <f>HYPERLINK("https://klasma.github.io/Logging_0680/tillsynsmail/A 40268-2021 tillsynsbegäran mail.docx", "A 40268-2021")</f>
        <v/>
      </c>
    </row>
    <row r="278" ht="15" customHeight="1">
      <c r="A278" t="inlineStr">
        <is>
          <t>A 42834-2021</t>
        </is>
      </c>
      <c r="B278" s="1" t="n">
        <v>44430</v>
      </c>
      <c r="C278" s="1" t="n">
        <v>45716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Granbräken</t>
        </is>
      </c>
      <c r="S278">
        <f>HYPERLINK("https://klasma.github.io/Logging_0682/artfynd/A 42834-2021 artfynd.xlsx", "A 42834-2021")</f>
        <v/>
      </c>
      <c r="T278">
        <f>HYPERLINK("https://klasma.github.io/Logging_0682/kartor/A 42834-2021 karta.png", "A 42834-2021")</f>
        <v/>
      </c>
      <c r="V278">
        <f>HYPERLINK("https://klasma.github.io/Logging_0682/klagomål/A 42834-2021 FSC-klagomål.docx", "A 42834-2021")</f>
        <v/>
      </c>
      <c r="W278">
        <f>HYPERLINK("https://klasma.github.io/Logging_0682/klagomålsmail/A 42834-2021 FSC-klagomål mail.docx", "A 42834-2021")</f>
        <v/>
      </c>
      <c r="X278">
        <f>HYPERLINK("https://klasma.github.io/Logging_0682/tillsyn/A 42834-2021 tillsynsbegäran.docx", "A 42834-2021")</f>
        <v/>
      </c>
      <c r="Y278">
        <f>HYPERLINK("https://klasma.github.io/Logging_0682/tillsynsmail/A 42834-2021 tillsynsbegäran mail.docx", "A 42834-2021")</f>
        <v/>
      </c>
    </row>
    <row r="279" ht="15" customHeight="1">
      <c r="A279" t="inlineStr">
        <is>
          <t>A 44177-2021</t>
        </is>
      </c>
      <c r="B279" s="1" t="n">
        <v>44434</v>
      </c>
      <c r="C279" s="1" t="n">
        <v>45716</v>
      </c>
      <c r="D279" t="inlineStr">
        <is>
          <t>JÖNKÖPINGS LÄN</t>
        </is>
      </c>
      <c r="E279" t="inlineStr">
        <is>
          <t>VETLANDA</t>
        </is>
      </c>
      <c r="G279" t="n">
        <v>2.6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HYPERLINK("https://klasma.github.io/Logging_0685/artfynd/A 44177-2021 artfynd.xlsx", "A 44177-2021")</f>
        <v/>
      </c>
      <c r="T279">
        <f>HYPERLINK("https://klasma.github.io/Logging_0685/kartor/A 44177-2021 karta.png", "A 44177-2021")</f>
        <v/>
      </c>
      <c r="V279">
        <f>HYPERLINK("https://klasma.github.io/Logging_0685/klagomål/A 44177-2021 FSC-klagomål.docx", "A 44177-2021")</f>
        <v/>
      </c>
      <c r="W279">
        <f>HYPERLINK("https://klasma.github.io/Logging_0685/klagomålsmail/A 44177-2021 FSC-klagomål mail.docx", "A 44177-2021")</f>
        <v/>
      </c>
      <c r="X279">
        <f>HYPERLINK("https://klasma.github.io/Logging_0685/tillsyn/A 44177-2021 tillsynsbegäran.docx", "A 44177-2021")</f>
        <v/>
      </c>
      <c r="Y279">
        <f>HYPERLINK("https://klasma.github.io/Logging_0685/tillsynsmail/A 44177-2021 tillsynsbegäran mail.docx", "A 44177-2021")</f>
        <v/>
      </c>
    </row>
    <row r="280" ht="15" customHeight="1">
      <c r="A280" t="inlineStr">
        <is>
          <t>A 46862-2021</t>
        </is>
      </c>
      <c r="B280" s="1" t="n">
        <v>44446</v>
      </c>
      <c r="C280" s="1" t="n">
        <v>45716</v>
      </c>
      <c r="D280" t="inlineStr">
        <is>
          <t>JÖNKÖPINGS LÄN</t>
        </is>
      </c>
      <c r="E280" t="inlineStr">
        <is>
          <t>VETLANDA</t>
        </is>
      </c>
      <c r="G280" t="n">
        <v>4.1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Svart trolldruva</t>
        </is>
      </c>
      <c r="S280">
        <f>HYPERLINK("https://klasma.github.io/Logging_0685/artfynd/A 46862-2021 artfynd.xlsx", "A 46862-2021")</f>
        <v/>
      </c>
      <c r="T280">
        <f>HYPERLINK("https://klasma.github.io/Logging_0685/kartor/A 46862-2021 karta.png", "A 46862-2021")</f>
        <v/>
      </c>
      <c r="V280">
        <f>HYPERLINK("https://klasma.github.io/Logging_0685/klagomål/A 46862-2021 FSC-klagomål.docx", "A 46862-2021")</f>
        <v/>
      </c>
      <c r="W280">
        <f>HYPERLINK("https://klasma.github.io/Logging_0685/klagomålsmail/A 46862-2021 FSC-klagomål mail.docx", "A 46862-2021")</f>
        <v/>
      </c>
      <c r="X280">
        <f>HYPERLINK("https://klasma.github.io/Logging_0685/tillsyn/A 46862-2021 tillsynsbegäran.docx", "A 46862-2021")</f>
        <v/>
      </c>
      <c r="Y280">
        <f>HYPERLINK("https://klasma.github.io/Logging_0685/tillsynsmail/A 46862-2021 tillsynsbegäran mail.docx", "A 46862-2021")</f>
        <v/>
      </c>
    </row>
    <row r="281" ht="15" customHeight="1">
      <c r="A281" t="inlineStr">
        <is>
          <t>A 48001-2021</t>
        </is>
      </c>
      <c r="B281" s="1" t="n">
        <v>44449</v>
      </c>
      <c r="C281" s="1" t="n">
        <v>45716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Sågtandad mycelbagge</t>
        </is>
      </c>
      <c r="S281">
        <f>HYPERLINK("https://klasma.github.io/Logging_0680/artfynd/A 48001-2021 artfynd.xlsx", "A 48001-2021")</f>
        <v/>
      </c>
      <c r="T281">
        <f>HYPERLINK("https://klasma.github.io/Logging_0680/kartor/A 48001-2021 karta.png", "A 48001-2021")</f>
        <v/>
      </c>
      <c r="V281">
        <f>HYPERLINK("https://klasma.github.io/Logging_0680/klagomål/A 48001-2021 FSC-klagomål.docx", "A 48001-2021")</f>
        <v/>
      </c>
      <c r="W281">
        <f>HYPERLINK("https://klasma.github.io/Logging_0680/klagomålsmail/A 48001-2021 FSC-klagomål mail.docx", "A 48001-2021")</f>
        <v/>
      </c>
      <c r="X281">
        <f>HYPERLINK("https://klasma.github.io/Logging_0680/tillsyn/A 48001-2021 tillsynsbegäran.docx", "A 48001-2021")</f>
        <v/>
      </c>
      <c r="Y281">
        <f>HYPERLINK("https://klasma.github.io/Logging_0680/tillsynsmail/A 48001-2021 tillsynsbegäran mail.docx", "A 48001-2021")</f>
        <v/>
      </c>
    </row>
    <row r="282" ht="15" customHeight="1">
      <c r="A282" t="inlineStr">
        <is>
          <t>A 49388-2021</t>
        </is>
      </c>
      <c r="B282" s="1" t="n">
        <v>44454</v>
      </c>
      <c r="C282" s="1" t="n">
        <v>45716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HYPERLINK("https://klasma.github.io/Logging_0685/artfynd/A 49388-2021 artfynd.xlsx", "A 49388-2021")</f>
        <v/>
      </c>
      <c r="T282">
        <f>HYPERLINK("https://klasma.github.io/Logging_0685/kartor/A 49388-2021 karta.png", "A 49388-2021")</f>
        <v/>
      </c>
      <c r="V282">
        <f>HYPERLINK("https://klasma.github.io/Logging_0685/klagomål/A 49388-2021 FSC-klagomål.docx", "A 49388-2021")</f>
        <v/>
      </c>
      <c r="W282">
        <f>HYPERLINK("https://klasma.github.io/Logging_0685/klagomålsmail/A 49388-2021 FSC-klagomål mail.docx", "A 49388-2021")</f>
        <v/>
      </c>
      <c r="X282">
        <f>HYPERLINK("https://klasma.github.io/Logging_0685/tillsyn/A 49388-2021 tillsynsbegäran.docx", "A 49388-2021")</f>
        <v/>
      </c>
      <c r="Y282">
        <f>HYPERLINK("https://klasma.github.io/Logging_0685/tillsynsmail/A 49388-2021 tillsynsbegäran mail.docx", "A 49388-2021")</f>
        <v/>
      </c>
    </row>
    <row r="283" ht="15" customHeight="1">
      <c r="A283" t="inlineStr">
        <is>
          <t>A 51852-2021</t>
        </is>
      </c>
      <c r="B283" s="1" t="n">
        <v>44462</v>
      </c>
      <c r="C283" s="1" t="n">
        <v>45716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51852-2021 artfynd.xlsx", "A 51852-2021")</f>
        <v/>
      </c>
      <c r="T283">
        <f>HYPERLINK("https://klasma.github.io/Logging_0685/kartor/A 51852-2021 karta.png", "A 51852-2021")</f>
        <v/>
      </c>
      <c r="V283">
        <f>HYPERLINK("https://klasma.github.io/Logging_0685/klagomål/A 51852-2021 FSC-klagomål.docx", "A 51852-2021")</f>
        <v/>
      </c>
      <c r="W283">
        <f>HYPERLINK("https://klasma.github.io/Logging_0685/klagomålsmail/A 51852-2021 FSC-klagomål mail.docx", "A 51852-2021")</f>
        <v/>
      </c>
      <c r="X283">
        <f>HYPERLINK("https://klasma.github.io/Logging_0685/tillsyn/A 51852-2021 tillsynsbegäran.docx", "A 51852-2021")</f>
        <v/>
      </c>
      <c r="Y283">
        <f>HYPERLINK("https://klasma.github.io/Logging_0685/tillsynsmail/A 51852-2021 tillsynsbegäran mail.docx", "A 51852-2021")</f>
        <v/>
      </c>
    </row>
    <row r="284" ht="15" customHeight="1">
      <c r="A284" t="inlineStr">
        <is>
          <t>A 52023-2021</t>
        </is>
      </c>
      <c r="B284" s="1" t="n">
        <v>44463</v>
      </c>
      <c r="C284" s="1" t="n">
        <v>45716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Springkorn</t>
        </is>
      </c>
      <c r="S284">
        <f>HYPERLINK("https://klasma.github.io/Logging_0680/artfynd/A 52023-2021 artfynd.xlsx", "A 52023-2021")</f>
        <v/>
      </c>
      <c r="T284">
        <f>HYPERLINK("https://klasma.github.io/Logging_0680/kartor/A 52023-2021 karta.png", "A 52023-2021")</f>
        <v/>
      </c>
      <c r="V284">
        <f>HYPERLINK("https://klasma.github.io/Logging_0680/klagomål/A 52023-2021 FSC-klagomål.docx", "A 52023-2021")</f>
        <v/>
      </c>
      <c r="W284">
        <f>HYPERLINK("https://klasma.github.io/Logging_0680/klagomålsmail/A 52023-2021 FSC-klagomål mail.docx", "A 52023-2021")</f>
        <v/>
      </c>
      <c r="X284">
        <f>HYPERLINK("https://klasma.github.io/Logging_0680/tillsyn/A 52023-2021 tillsynsbegäran.docx", "A 52023-2021")</f>
        <v/>
      </c>
      <c r="Y284">
        <f>HYPERLINK("https://klasma.github.io/Logging_0680/tillsynsmail/A 52023-2021 tillsynsbegäran mail.docx", "A 52023-2021")</f>
        <v/>
      </c>
    </row>
    <row r="285" ht="15" customHeight="1">
      <c r="A285" t="inlineStr">
        <is>
          <t>A 53025-2021</t>
        </is>
      </c>
      <c r="B285" s="1" t="n">
        <v>44467</v>
      </c>
      <c r="C285" s="1" t="n">
        <v>45716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Slåttergubbe</t>
        </is>
      </c>
      <c r="S285">
        <f>HYPERLINK("https://klasma.github.io/Logging_0680/artfynd/A 53025-2021 artfynd.xlsx", "A 53025-2021")</f>
        <v/>
      </c>
      <c r="T285">
        <f>HYPERLINK("https://klasma.github.io/Logging_0680/kartor/A 53025-2021 karta.png", "A 53025-2021")</f>
        <v/>
      </c>
      <c r="V285">
        <f>HYPERLINK("https://klasma.github.io/Logging_0680/klagomål/A 53025-2021 FSC-klagomål.docx", "A 53025-2021")</f>
        <v/>
      </c>
      <c r="W285">
        <f>HYPERLINK("https://klasma.github.io/Logging_0680/klagomålsmail/A 53025-2021 FSC-klagomål mail.docx", "A 53025-2021")</f>
        <v/>
      </c>
      <c r="X285">
        <f>HYPERLINK("https://klasma.github.io/Logging_0680/tillsyn/A 53025-2021 tillsynsbegäran.docx", "A 53025-2021")</f>
        <v/>
      </c>
      <c r="Y285">
        <f>HYPERLINK("https://klasma.github.io/Logging_0680/tillsynsmail/A 53025-2021 tillsynsbegäran mail.docx", "A 53025-2021")</f>
        <v/>
      </c>
    </row>
    <row r="286" ht="15" customHeight="1">
      <c r="A286" t="inlineStr">
        <is>
          <t>A 53670-2021</t>
        </is>
      </c>
      <c r="B286" s="1" t="n">
        <v>44469</v>
      </c>
      <c r="C286" s="1" t="n">
        <v>45716</v>
      </c>
      <c r="D286" t="inlineStr">
        <is>
          <t>JÖNKÖPINGS LÄN</t>
        </is>
      </c>
      <c r="E286" t="inlineStr">
        <is>
          <t>JÖNKÖPING</t>
        </is>
      </c>
      <c r="G286" t="n">
        <v>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HYPERLINK("https://klasma.github.io/Logging_0680/artfynd/A 53670-2021 artfynd.xlsx", "A 53670-2021")</f>
        <v/>
      </c>
      <c r="T286">
        <f>HYPERLINK("https://klasma.github.io/Logging_0680/kartor/A 53670-2021 karta.png", "A 53670-2021")</f>
        <v/>
      </c>
      <c r="U286">
        <f>HYPERLINK("https://klasma.github.io/Logging_0680/knärot/A 53670-2021 karta knärot.png", "A 53670-2021")</f>
        <v/>
      </c>
      <c r="V286">
        <f>HYPERLINK("https://klasma.github.io/Logging_0680/klagomål/A 53670-2021 FSC-klagomål.docx", "A 53670-2021")</f>
        <v/>
      </c>
      <c r="W286">
        <f>HYPERLINK("https://klasma.github.io/Logging_0680/klagomålsmail/A 53670-2021 FSC-klagomål mail.docx", "A 53670-2021")</f>
        <v/>
      </c>
      <c r="X286">
        <f>HYPERLINK("https://klasma.github.io/Logging_0680/tillsyn/A 53670-2021 tillsynsbegäran.docx", "A 53670-2021")</f>
        <v/>
      </c>
      <c r="Y286">
        <f>HYPERLINK("https://klasma.github.io/Logging_0680/tillsynsmail/A 53670-2021 tillsynsbegäran mail.docx", "A 53670-2021")</f>
        <v/>
      </c>
    </row>
    <row r="287" ht="15" customHeight="1">
      <c r="A287" t="inlineStr">
        <is>
          <t>A 61201-2021</t>
        </is>
      </c>
      <c r="B287" s="1" t="n">
        <v>44498</v>
      </c>
      <c r="C287" s="1" t="n">
        <v>45716</v>
      </c>
      <c r="D287" t="inlineStr">
        <is>
          <t>JÖNKÖPINGS LÄN</t>
        </is>
      </c>
      <c r="E287" t="inlineStr">
        <is>
          <t>NÄSSJÖ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HYPERLINK("https://klasma.github.io/Logging_0682/artfynd/A 61201-2021 artfynd.xlsx", "A 61201-2021")</f>
        <v/>
      </c>
      <c r="T287">
        <f>HYPERLINK("https://klasma.github.io/Logging_0682/kartor/A 61201-2021 karta.png", "A 61201-2021")</f>
        <v/>
      </c>
      <c r="V287">
        <f>HYPERLINK("https://klasma.github.io/Logging_0682/klagomål/A 61201-2021 FSC-klagomål.docx", "A 61201-2021")</f>
        <v/>
      </c>
      <c r="W287">
        <f>HYPERLINK("https://klasma.github.io/Logging_0682/klagomålsmail/A 61201-2021 FSC-klagomål mail.docx", "A 61201-2021")</f>
        <v/>
      </c>
      <c r="X287">
        <f>HYPERLINK("https://klasma.github.io/Logging_0682/tillsyn/A 61201-2021 tillsynsbegäran.docx", "A 61201-2021")</f>
        <v/>
      </c>
      <c r="Y287">
        <f>HYPERLINK("https://klasma.github.io/Logging_0682/tillsynsmail/A 61201-2021 tillsynsbegäran mail.docx", "A 61201-2021")</f>
        <v/>
      </c>
    </row>
    <row r="288" ht="15" customHeight="1">
      <c r="A288" t="inlineStr">
        <is>
          <t>A 63418-2021</t>
        </is>
      </c>
      <c r="B288" s="1" t="n">
        <v>44508</v>
      </c>
      <c r="C288" s="1" t="n">
        <v>45716</v>
      </c>
      <c r="D288" t="inlineStr">
        <is>
          <t>JÖNKÖPINGS LÄN</t>
        </is>
      </c>
      <c r="E288" t="inlineStr">
        <is>
          <t>VÄRNAMO</t>
        </is>
      </c>
      <c r="G288" t="n">
        <v>8.4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HYPERLINK("https://klasma.github.io/Logging_0683/artfynd/A 63418-2021 artfynd.xlsx", "A 63418-2021")</f>
        <v/>
      </c>
      <c r="T288">
        <f>HYPERLINK("https://klasma.github.io/Logging_0683/kartor/A 63418-2021 karta.png", "A 63418-2021")</f>
        <v/>
      </c>
      <c r="V288">
        <f>HYPERLINK("https://klasma.github.io/Logging_0683/klagomål/A 63418-2021 FSC-klagomål.docx", "A 63418-2021")</f>
        <v/>
      </c>
      <c r="W288">
        <f>HYPERLINK("https://klasma.github.io/Logging_0683/klagomålsmail/A 63418-2021 FSC-klagomål mail.docx", "A 63418-2021")</f>
        <v/>
      </c>
      <c r="X288">
        <f>HYPERLINK("https://klasma.github.io/Logging_0683/tillsyn/A 63418-2021 tillsynsbegäran.docx", "A 63418-2021")</f>
        <v/>
      </c>
      <c r="Y288">
        <f>HYPERLINK("https://klasma.github.io/Logging_0683/tillsynsmail/A 63418-2021 tillsynsbegäran mail.docx", "A 63418-2021")</f>
        <v/>
      </c>
    </row>
    <row r="289" ht="15" customHeight="1">
      <c r="A289" t="inlineStr">
        <is>
          <t>A 63467-2021</t>
        </is>
      </c>
      <c r="B289" s="1" t="n">
        <v>44508</v>
      </c>
      <c r="C289" s="1" t="n">
        <v>45716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Åkerrättika</t>
        </is>
      </c>
      <c r="S289">
        <f>HYPERLINK("https://klasma.github.io/Logging_0604/artfynd/A 63467-2021 artfynd.xlsx", "A 63467-2021")</f>
        <v/>
      </c>
      <c r="T289">
        <f>HYPERLINK("https://klasma.github.io/Logging_0604/kartor/A 63467-2021 karta.png", "A 63467-2021")</f>
        <v/>
      </c>
      <c r="V289">
        <f>HYPERLINK("https://klasma.github.io/Logging_0604/klagomål/A 63467-2021 FSC-klagomål.docx", "A 63467-2021")</f>
        <v/>
      </c>
      <c r="W289">
        <f>HYPERLINK("https://klasma.github.io/Logging_0604/klagomålsmail/A 63467-2021 FSC-klagomål mail.docx", "A 63467-2021")</f>
        <v/>
      </c>
      <c r="X289">
        <f>HYPERLINK("https://klasma.github.io/Logging_0604/tillsyn/A 63467-2021 tillsynsbegäran.docx", "A 63467-2021")</f>
        <v/>
      </c>
      <c r="Y289">
        <f>HYPERLINK("https://klasma.github.io/Logging_0604/tillsynsmail/A 63467-2021 tillsynsbegäran mail.docx", "A 63467-2021")</f>
        <v/>
      </c>
    </row>
    <row r="290" ht="15" customHeight="1">
      <c r="A290" t="inlineStr">
        <is>
          <t>A 64995-2021</t>
        </is>
      </c>
      <c r="B290" s="1" t="n">
        <v>44514</v>
      </c>
      <c r="C290" s="1" t="n">
        <v>45716</v>
      </c>
      <c r="D290" t="inlineStr">
        <is>
          <t>JÖNKÖPINGS LÄN</t>
        </is>
      </c>
      <c r="E290" t="inlineStr">
        <is>
          <t>VETLANDA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Trollsmultron</t>
        </is>
      </c>
      <c r="S290">
        <f>HYPERLINK("https://klasma.github.io/Logging_0685/artfynd/A 64995-2021 artfynd.xlsx", "A 64995-2021")</f>
        <v/>
      </c>
      <c r="T290">
        <f>HYPERLINK("https://klasma.github.io/Logging_0685/kartor/A 64995-2021 karta.png", "A 64995-2021")</f>
        <v/>
      </c>
      <c r="V290">
        <f>HYPERLINK("https://klasma.github.io/Logging_0685/klagomål/A 64995-2021 FSC-klagomål.docx", "A 64995-2021")</f>
        <v/>
      </c>
      <c r="W290">
        <f>HYPERLINK("https://klasma.github.io/Logging_0685/klagomålsmail/A 64995-2021 FSC-klagomål mail.docx", "A 64995-2021")</f>
        <v/>
      </c>
      <c r="X290">
        <f>HYPERLINK("https://klasma.github.io/Logging_0685/tillsyn/A 64995-2021 tillsynsbegäran.docx", "A 64995-2021")</f>
        <v/>
      </c>
      <c r="Y290">
        <f>HYPERLINK("https://klasma.github.io/Logging_0685/tillsynsmail/A 64995-2021 tillsynsbegäran mail.docx", "A 64995-2021")</f>
        <v/>
      </c>
    </row>
    <row r="291" ht="15" customHeight="1">
      <c r="A291" t="inlineStr">
        <is>
          <t>A 68409-2021</t>
        </is>
      </c>
      <c r="B291" s="1" t="n">
        <v>44529</v>
      </c>
      <c r="C291" s="1" t="n">
        <v>45716</v>
      </c>
      <c r="D291" t="inlineStr">
        <is>
          <t>JÖNKÖPINGS LÄN</t>
        </is>
      </c>
      <c r="E291" t="inlineStr">
        <is>
          <t>NÄSSJÖ</t>
        </is>
      </c>
      <c r="G291" t="n">
        <v>3.8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Åkerkål</t>
        </is>
      </c>
      <c r="S291">
        <f>HYPERLINK("https://klasma.github.io/Logging_0682/artfynd/A 68409-2021 artfynd.xlsx", "A 68409-2021")</f>
        <v/>
      </c>
      <c r="T291">
        <f>HYPERLINK("https://klasma.github.io/Logging_0682/kartor/A 68409-2021 karta.png", "A 68409-2021")</f>
        <v/>
      </c>
      <c r="V291">
        <f>HYPERLINK("https://klasma.github.io/Logging_0682/klagomål/A 68409-2021 FSC-klagomål.docx", "A 68409-2021")</f>
        <v/>
      </c>
      <c r="W291">
        <f>HYPERLINK("https://klasma.github.io/Logging_0682/klagomålsmail/A 68409-2021 FSC-klagomål mail.docx", "A 68409-2021")</f>
        <v/>
      </c>
      <c r="X291">
        <f>HYPERLINK("https://klasma.github.io/Logging_0682/tillsyn/A 68409-2021 tillsynsbegäran.docx", "A 68409-2021")</f>
        <v/>
      </c>
      <c r="Y291">
        <f>HYPERLINK("https://klasma.github.io/Logging_0682/tillsynsmail/A 68409-2021 tillsynsbegäran mail.docx", "A 68409-2021")</f>
        <v/>
      </c>
    </row>
    <row r="292" ht="15" customHeight="1">
      <c r="A292" t="inlineStr">
        <is>
          <t>A 69075-2021</t>
        </is>
      </c>
      <c r="B292" s="1" t="n">
        <v>44530</v>
      </c>
      <c r="C292" s="1" t="n">
        <v>45716</v>
      </c>
      <c r="D292" t="inlineStr">
        <is>
          <t>JÖNKÖPINGS LÄN</t>
        </is>
      </c>
      <c r="E292" t="inlineStr">
        <is>
          <t>GISLAVED</t>
        </is>
      </c>
      <c r="G292" t="n">
        <v>2.1</v>
      </c>
      <c r="H292" t="n">
        <v>1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Bredgentiana</t>
        </is>
      </c>
      <c r="S292">
        <f>HYPERLINK("https://klasma.github.io/Logging_0662/artfynd/A 69075-2021 artfynd.xlsx", "A 69075-2021")</f>
        <v/>
      </c>
      <c r="T292">
        <f>HYPERLINK("https://klasma.github.io/Logging_0662/kartor/A 69075-2021 karta.png", "A 69075-2021")</f>
        <v/>
      </c>
      <c r="V292">
        <f>HYPERLINK("https://klasma.github.io/Logging_0662/klagomål/A 69075-2021 FSC-klagomål.docx", "A 69075-2021")</f>
        <v/>
      </c>
      <c r="W292">
        <f>HYPERLINK("https://klasma.github.io/Logging_0662/klagomålsmail/A 69075-2021 FSC-klagomål mail.docx", "A 69075-2021")</f>
        <v/>
      </c>
      <c r="X292">
        <f>HYPERLINK("https://klasma.github.io/Logging_0662/tillsyn/A 69075-2021 tillsynsbegäran.docx", "A 69075-2021")</f>
        <v/>
      </c>
      <c r="Y292">
        <f>HYPERLINK("https://klasma.github.io/Logging_0662/tillsynsmail/A 69075-2021 tillsynsbegäran mail.docx", "A 69075-2021")</f>
        <v/>
      </c>
    </row>
    <row r="293" ht="15" customHeight="1">
      <c r="A293" t="inlineStr">
        <is>
          <t>A 70820-2021</t>
        </is>
      </c>
      <c r="B293" s="1" t="n">
        <v>44537</v>
      </c>
      <c r="C293" s="1" t="n">
        <v>45716</v>
      </c>
      <c r="D293" t="inlineStr">
        <is>
          <t>JÖNKÖPINGS LÄN</t>
        </is>
      </c>
      <c r="E293" t="inlineStr">
        <is>
          <t>NÄSSJÖ</t>
        </is>
      </c>
      <c r="G293" t="n">
        <v>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Lappuggla</t>
        </is>
      </c>
      <c r="S293">
        <f>HYPERLINK("https://klasma.github.io/Logging_0682/artfynd/A 70820-2021 artfynd.xlsx", "A 70820-2021")</f>
        <v/>
      </c>
      <c r="T293">
        <f>HYPERLINK("https://klasma.github.io/Logging_0682/kartor/A 70820-2021 karta.png", "A 70820-2021")</f>
        <v/>
      </c>
      <c r="V293">
        <f>HYPERLINK("https://klasma.github.io/Logging_0682/klagomål/A 70820-2021 FSC-klagomål.docx", "A 70820-2021")</f>
        <v/>
      </c>
      <c r="W293">
        <f>HYPERLINK("https://klasma.github.io/Logging_0682/klagomålsmail/A 70820-2021 FSC-klagomål mail.docx", "A 70820-2021")</f>
        <v/>
      </c>
      <c r="X293">
        <f>HYPERLINK("https://klasma.github.io/Logging_0682/tillsyn/A 70820-2021 tillsynsbegäran.docx", "A 70820-2021")</f>
        <v/>
      </c>
      <c r="Y293">
        <f>HYPERLINK("https://klasma.github.io/Logging_0682/tillsynsmail/A 70820-2021 tillsynsbegäran mail.docx", "A 70820-2021")</f>
        <v/>
      </c>
      <c r="Z293">
        <f>HYPERLINK("https://klasma.github.io/Logging_0682/fåglar/A 70820-2021 prioriterade fågelarter.docx", "A 70820-2021")</f>
        <v/>
      </c>
    </row>
    <row r="294" ht="15" customHeight="1">
      <c r="A294" t="inlineStr">
        <is>
          <t>A 412-2022</t>
        </is>
      </c>
      <c r="B294" s="1" t="n">
        <v>44565</v>
      </c>
      <c r="C294" s="1" t="n">
        <v>45716</v>
      </c>
      <c r="D294" t="inlineStr">
        <is>
          <t>JÖNKÖPINGS LÄN</t>
        </is>
      </c>
      <c r="E294" t="inlineStr">
        <is>
          <t>ANEBY</t>
        </is>
      </c>
      <c r="G294" t="n">
        <v>6.7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HYPERLINK("https://klasma.github.io/Logging_0604/artfynd/A 412-2022 artfynd.xlsx", "A 412-2022")</f>
        <v/>
      </c>
      <c r="T294">
        <f>HYPERLINK("https://klasma.github.io/Logging_0604/kartor/A 412-2022 karta.png", "A 412-2022")</f>
        <v/>
      </c>
      <c r="V294">
        <f>HYPERLINK("https://klasma.github.io/Logging_0604/klagomål/A 412-2022 FSC-klagomål.docx", "A 412-2022")</f>
        <v/>
      </c>
      <c r="W294">
        <f>HYPERLINK("https://klasma.github.io/Logging_0604/klagomålsmail/A 412-2022 FSC-klagomål mail.docx", "A 412-2022")</f>
        <v/>
      </c>
      <c r="X294">
        <f>HYPERLINK("https://klasma.github.io/Logging_0604/tillsyn/A 412-2022 tillsynsbegäran.docx", "A 412-2022")</f>
        <v/>
      </c>
      <c r="Y294">
        <f>HYPERLINK("https://klasma.github.io/Logging_0604/tillsynsmail/A 412-2022 tillsynsbegäran mail.docx", "A 412-2022")</f>
        <v/>
      </c>
    </row>
    <row r="295" ht="15" customHeight="1">
      <c r="A295" t="inlineStr">
        <is>
          <t>A 1304-2022</t>
        </is>
      </c>
      <c r="B295" s="1" t="n">
        <v>44572</v>
      </c>
      <c r="C295" s="1" t="n">
        <v>45716</v>
      </c>
      <c r="D295" t="inlineStr">
        <is>
          <t>JÖNKÖPINGS LÄN</t>
        </is>
      </c>
      <c r="E295" t="inlineStr">
        <is>
          <t>SÄVSJÖ</t>
        </is>
      </c>
      <c r="G295" t="n">
        <v>3.6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Fjällvråk</t>
        </is>
      </c>
      <c r="S295">
        <f>HYPERLINK("https://klasma.github.io/Logging_0684/artfynd/A 1304-2022 artfynd.xlsx", "A 1304-2022")</f>
        <v/>
      </c>
      <c r="T295">
        <f>HYPERLINK("https://klasma.github.io/Logging_0684/kartor/A 1304-2022 karta.png", "A 1304-2022")</f>
        <v/>
      </c>
      <c r="V295">
        <f>HYPERLINK("https://klasma.github.io/Logging_0684/klagomål/A 1304-2022 FSC-klagomål.docx", "A 1304-2022")</f>
        <v/>
      </c>
      <c r="W295">
        <f>HYPERLINK("https://klasma.github.io/Logging_0684/klagomålsmail/A 1304-2022 FSC-klagomål mail.docx", "A 1304-2022")</f>
        <v/>
      </c>
      <c r="X295">
        <f>HYPERLINK("https://klasma.github.io/Logging_0684/tillsyn/A 1304-2022 tillsynsbegäran.docx", "A 1304-2022")</f>
        <v/>
      </c>
      <c r="Y295">
        <f>HYPERLINK("https://klasma.github.io/Logging_0684/tillsynsmail/A 1304-2022 tillsynsbegäran mail.docx", "A 1304-2022")</f>
        <v/>
      </c>
      <c r="Z295">
        <f>HYPERLINK("https://klasma.github.io/Logging_0684/fåglar/A 1304-2022 prioriterade fågelarter.docx", "A 1304-2022")</f>
        <v/>
      </c>
    </row>
    <row r="296" ht="15" customHeight="1">
      <c r="A296" t="inlineStr">
        <is>
          <t>A 5254-2022</t>
        </is>
      </c>
      <c r="B296" s="1" t="n">
        <v>44594</v>
      </c>
      <c r="C296" s="1" t="n">
        <v>45716</v>
      </c>
      <c r="D296" t="inlineStr">
        <is>
          <t>JÖNKÖPINGS LÄN</t>
        </is>
      </c>
      <c r="E296" t="inlineStr">
        <is>
          <t>JÖNKÖPING</t>
        </is>
      </c>
      <c r="G296" t="n">
        <v>4.5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Grå vaxskivling</t>
        </is>
      </c>
      <c r="S296">
        <f>HYPERLINK("https://klasma.github.io/Logging_0680/artfynd/A 5254-2022 artfynd.xlsx", "A 5254-2022")</f>
        <v/>
      </c>
      <c r="T296">
        <f>HYPERLINK("https://klasma.github.io/Logging_0680/kartor/A 5254-2022 karta.png", "A 5254-2022")</f>
        <v/>
      </c>
      <c r="V296">
        <f>HYPERLINK("https://klasma.github.io/Logging_0680/klagomål/A 5254-2022 FSC-klagomål.docx", "A 5254-2022")</f>
        <v/>
      </c>
      <c r="W296">
        <f>HYPERLINK("https://klasma.github.io/Logging_0680/klagomålsmail/A 5254-2022 FSC-klagomål mail.docx", "A 5254-2022")</f>
        <v/>
      </c>
      <c r="X296">
        <f>HYPERLINK("https://klasma.github.io/Logging_0680/tillsyn/A 5254-2022 tillsynsbegäran.docx", "A 5254-2022")</f>
        <v/>
      </c>
      <c r="Y296">
        <f>HYPERLINK("https://klasma.github.io/Logging_0680/tillsynsmail/A 5254-2022 tillsynsbegäran mail.docx", "A 5254-2022")</f>
        <v/>
      </c>
    </row>
    <row r="297" ht="15" customHeight="1">
      <c r="A297" t="inlineStr">
        <is>
          <t>A 5498-2022</t>
        </is>
      </c>
      <c r="B297" s="1" t="n">
        <v>44595</v>
      </c>
      <c r="C297" s="1" t="n">
        <v>45716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5498-2022 artfynd.xlsx", "A 5498-2022")</f>
        <v/>
      </c>
      <c r="T297">
        <f>HYPERLINK("https://klasma.github.io/Logging_0685/kartor/A 5498-2022 karta.png", "A 5498-2022")</f>
        <v/>
      </c>
      <c r="V297">
        <f>HYPERLINK("https://klasma.github.io/Logging_0685/klagomål/A 5498-2022 FSC-klagomål.docx", "A 5498-2022")</f>
        <v/>
      </c>
      <c r="W297">
        <f>HYPERLINK("https://klasma.github.io/Logging_0685/klagomålsmail/A 5498-2022 FSC-klagomål mail.docx", "A 5498-2022")</f>
        <v/>
      </c>
      <c r="X297">
        <f>HYPERLINK("https://klasma.github.io/Logging_0685/tillsyn/A 5498-2022 tillsynsbegäran.docx", "A 5498-2022")</f>
        <v/>
      </c>
      <c r="Y297">
        <f>HYPERLINK("https://klasma.github.io/Logging_0685/tillsynsmail/A 5498-2022 tillsynsbegäran mail.docx", "A 5498-2022")</f>
        <v/>
      </c>
    </row>
    <row r="298" ht="15" customHeight="1">
      <c r="A298" t="inlineStr">
        <is>
          <t>A 6671-2022</t>
        </is>
      </c>
      <c r="B298" s="1" t="n">
        <v>44602</v>
      </c>
      <c r="C298" s="1" t="n">
        <v>45716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Plattlummer</t>
        </is>
      </c>
      <c r="S298">
        <f>HYPERLINK("https://klasma.github.io/Logging_0683/artfynd/A 6671-2022 artfynd.xlsx", "A 6671-2022")</f>
        <v/>
      </c>
      <c r="T298">
        <f>HYPERLINK("https://klasma.github.io/Logging_0683/kartor/A 6671-2022 karta.png", "A 6671-2022")</f>
        <v/>
      </c>
      <c r="V298">
        <f>HYPERLINK("https://klasma.github.io/Logging_0683/klagomål/A 6671-2022 FSC-klagomål.docx", "A 6671-2022")</f>
        <v/>
      </c>
      <c r="W298">
        <f>HYPERLINK("https://klasma.github.io/Logging_0683/klagomålsmail/A 6671-2022 FSC-klagomål mail.docx", "A 6671-2022")</f>
        <v/>
      </c>
      <c r="X298">
        <f>HYPERLINK("https://klasma.github.io/Logging_0683/tillsyn/A 6671-2022 tillsynsbegäran.docx", "A 6671-2022")</f>
        <v/>
      </c>
      <c r="Y298">
        <f>HYPERLINK("https://klasma.github.io/Logging_0683/tillsynsmail/A 6671-2022 tillsynsbegäran mail.docx", "A 6671-2022")</f>
        <v/>
      </c>
    </row>
    <row r="299" ht="15" customHeight="1">
      <c r="A299" t="inlineStr">
        <is>
          <t>A 13839-2022</t>
        </is>
      </c>
      <c r="B299" s="1" t="n">
        <v>44649</v>
      </c>
      <c r="C299" s="1" t="n">
        <v>45716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Blåsippa</t>
        </is>
      </c>
      <c r="S299">
        <f>HYPERLINK("https://klasma.github.io/Logging_0686/artfynd/A 13839-2022 artfynd.xlsx", "A 13839-2022")</f>
        <v/>
      </c>
      <c r="T299">
        <f>HYPERLINK("https://klasma.github.io/Logging_0686/kartor/A 13839-2022 karta.png", "A 13839-2022")</f>
        <v/>
      </c>
      <c r="V299">
        <f>HYPERLINK("https://klasma.github.io/Logging_0686/klagomål/A 13839-2022 FSC-klagomål.docx", "A 13839-2022")</f>
        <v/>
      </c>
      <c r="W299">
        <f>HYPERLINK("https://klasma.github.io/Logging_0686/klagomålsmail/A 13839-2022 FSC-klagomål mail.docx", "A 13839-2022")</f>
        <v/>
      </c>
      <c r="X299">
        <f>HYPERLINK("https://klasma.github.io/Logging_0686/tillsyn/A 13839-2022 tillsynsbegäran.docx", "A 13839-2022")</f>
        <v/>
      </c>
      <c r="Y299">
        <f>HYPERLINK("https://klasma.github.io/Logging_0686/tillsynsmail/A 13839-2022 tillsynsbegäran mail.docx", "A 13839-2022")</f>
        <v/>
      </c>
    </row>
    <row r="300" ht="15" customHeight="1">
      <c r="A300" t="inlineStr">
        <is>
          <t>A 13954-2022</t>
        </is>
      </c>
      <c r="B300" s="1" t="n">
        <v>44650</v>
      </c>
      <c r="C300" s="1" t="n">
        <v>45716</v>
      </c>
      <c r="D300" t="inlineStr">
        <is>
          <t>JÖNKÖPINGS LÄN</t>
        </is>
      </c>
      <c r="E300" t="inlineStr">
        <is>
          <t>VAGGERYD</t>
        </is>
      </c>
      <c r="G300" t="n">
        <v>3.6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Igelkott</t>
        </is>
      </c>
      <c r="S300">
        <f>HYPERLINK("https://klasma.github.io/Logging_0665/artfynd/A 13954-2022 artfynd.xlsx", "A 13954-2022")</f>
        <v/>
      </c>
      <c r="T300">
        <f>HYPERLINK("https://klasma.github.io/Logging_0665/kartor/A 13954-2022 karta.png", "A 13954-2022")</f>
        <v/>
      </c>
      <c r="V300">
        <f>HYPERLINK("https://klasma.github.io/Logging_0665/klagomål/A 13954-2022 FSC-klagomål.docx", "A 13954-2022")</f>
        <v/>
      </c>
      <c r="W300">
        <f>HYPERLINK("https://klasma.github.io/Logging_0665/klagomålsmail/A 13954-2022 FSC-klagomål mail.docx", "A 13954-2022")</f>
        <v/>
      </c>
      <c r="X300">
        <f>HYPERLINK("https://klasma.github.io/Logging_0665/tillsyn/A 13954-2022 tillsynsbegäran.docx", "A 13954-2022")</f>
        <v/>
      </c>
      <c r="Y300">
        <f>HYPERLINK("https://klasma.github.io/Logging_0665/tillsynsmail/A 13954-2022 tillsynsbegäran mail.docx", "A 13954-2022")</f>
        <v/>
      </c>
    </row>
    <row r="301" ht="15" customHeight="1">
      <c r="A301" t="inlineStr">
        <is>
          <t>A 26395-2022</t>
        </is>
      </c>
      <c r="B301" s="1" t="n">
        <v>44735</v>
      </c>
      <c r="C301" s="1" t="n">
        <v>45716</v>
      </c>
      <c r="D301" t="inlineStr">
        <is>
          <t>JÖNKÖPINGS LÄN</t>
        </is>
      </c>
      <c r="E301" t="inlineStr">
        <is>
          <t>TRANÅS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Ängsnycklar</t>
        </is>
      </c>
      <c r="S301">
        <f>HYPERLINK("https://klasma.github.io/Logging_0687/artfynd/A 26395-2022 artfynd.xlsx", "A 26395-2022")</f>
        <v/>
      </c>
      <c r="T301">
        <f>HYPERLINK("https://klasma.github.io/Logging_0687/kartor/A 26395-2022 karta.png", "A 26395-2022")</f>
        <v/>
      </c>
      <c r="V301">
        <f>HYPERLINK("https://klasma.github.io/Logging_0687/klagomål/A 26395-2022 FSC-klagomål.docx", "A 26395-2022")</f>
        <v/>
      </c>
      <c r="W301">
        <f>HYPERLINK("https://klasma.github.io/Logging_0687/klagomålsmail/A 26395-2022 FSC-klagomål mail.docx", "A 26395-2022")</f>
        <v/>
      </c>
      <c r="X301">
        <f>HYPERLINK("https://klasma.github.io/Logging_0687/tillsyn/A 26395-2022 tillsynsbegäran.docx", "A 26395-2022")</f>
        <v/>
      </c>
      <c r="Y301">
        <f>HYPERLINK("https://klasma.github.io/Logging_0687/tillsynsmail/A 26395-2022 tillsynsbegäran mail.docx", "A 26395-2022")</f>
        <v/>
      </c>
    </row>
    <row r="302" ht="15" customHeight="1">
      <c r="A302" t="inlineStr">
        <is>
          <t>A 26784-2022</t>
        </is>
      </c>
      <c r="B302" s="1" t="n">
        <v>44740</v>
      </c>
      <c r="C302" s="1" t="n">
        <v>45716</v>
      </c>
      <c r="D302" t="inlineStr">
        <is>
          <t>JÖNKÖPINGS LÄN</t>
        </is>
      </c>
      <c r="E302" t="inlineStr">
        <is>
          <t>ANEBY</t>
        </is>
      </c>
      <c r="G302" t="n">
        <v>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Vårstarr</t>
        </is>
      </c>
      <c r="S302">
        <f>HYPERLINK("https://klasma.github.io/Logging_0604/artfynd/A 26784-2022 artfynd.xlsx", "A 26784-2022")</f>
        <v/>
      </c>
      <c r="T302">
        <f>HYPERLINK("https://klasma.github.io/Logging_0604/kartor/A 26784-2022 karta.png", "A 26784-2022")</f>
        <v/>
      </c>
      <c r="V302">
        <f>HYPERLINK("https://klasma.github.io/Logging_0604/klagomål/A 26784-2022 FSC-klagomål.docx", "A 26784-2022")</f>
        <v/>
      </c>
      <c r="W302">
        <f>HYPERLINK("https://klasma.github.io/Logging_0604/klagomålsmail/A 26784-2022 FSC-klagomål mail.docx", "A 26784-2022")</f>
        <v/>
      </c>
      <c r="X302">
        <f>HYPERLINK("https://klasma.github.io/Logging_0604/tillsyn/A 26784-2022 tillsynsbegäran.docx", "A 26784-2022")</f>
        <v/>
      </c>
      <c r="Y302">
        <f>HYPERLINK("https://klasma.github.io/Logging_0604/tillsynsmail/A 26784-2022 tillsynsbegäran mail.docx", "A 26784-2022")</f>
        <v/>
      </c>
    </row>
    <row r="303" ht="15" customHeight="1">
      <c r="A303" t="inlineStr">
        <is>
          <t>A 26920-2022</t>
        </is>
      </c>
      <c r="B303" s="1" t="n">
        <v>44740</v>
      </c>
      <c r="C303" s="1" t="n">
        <v>45716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9.1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Adam och eva</t>
        </is>
      </c>
      <c r="S303">
        <f>HYPERLINK("https://klasma.github.io/Logging_0685/artfynd/A 26920-2022 artfynd.xlsx", "A 26920-2022")</f>
        <v/>
      </c>
      <c r="T303">
        <f>HYPERLINK("https://klasma.github.io/Logging_0685/kartor/A 26920-2022 karta.png", "A 26920-2022")</f>
        <v/>
      </c>
      <c r="V303">
        <f>HYPERLINK("https://klasma.github.io/Logging_0685/klagomål/A 26920-2022 FSC-klagomål.docx", "A 26920-2022")</f>
        <v/>
      </c>
      <c r="W303">
        <f>HYPERLINK("https://klasma.github.io/Logging_0685/klagomålsmail/A 26920-2022 FSC-klagomål mail.docx", "A 26920-2022")</f>
        <v/>
      </c>
      <c r="X303">
        <f>HYPERLINK("https://klasma.github.io/Logging_0685/tillsyn/A 26920-2022 tillsynsbegäran.docx", "A 26920-2022")</f>
        <v/>
      </c>
      <c r="Y303">
        <f>HYPERLINK("https://klasma.github.io/Logging_0685/tillsynsmail/A 26920-2022 tillsynsbegäran mail.docx", "A 26920-2022")</f>
        <v/>
      </c>
    </row>
    <row r="304" ht="15" customHeight="1">
      <c r="A304" t="inlineStr">
        <is>
          <t>A 27358-2022</t>
        </is>
      </c>
      <c r="B304" s="1" t="n">
        <v>44742</v>
      </c>
      <c r="C304" s="1" t="n">
        <v>45716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Kambräken</t>
        </is>
      </c>
      <c r="S304">
        <f>HYPERLINK("https://klasma.github.io/Logging_0662/artfynd/A 27358-2022 artfynd.xlsx", "A 27358-2022")</f>
        <v/>
      </c>
      <c r="T304">
        <f>HYPERLINK("https://klasma.github.io/Logging_0662/kartor/A 27358-2022 karta.png", "A 27358-2022")</f>
        <v/>
      </c>
      <c r="V304">
        <f>HYPERLINK("https://klasma.github.io/Logging_0662/klagomål/A 27358-2022 FSC-klagomål.docx", "A 27358-2022")</f>
        <v/>
      </c>
      <c r="W304">
        <f>HYPERLINK("https://klasma.github.io/Logging_0662/klagomålsmail/A 27358-2022 FSC-klagomål mail.docx", "A 27358-2022")</f>
        <v/>
      </c>
      <c r="X304">
        <f>HYPERLINK("https://klasma.github.io/Logging_0662/tillsyn/A 27358-2022 tillsynsbegäran.docx", "A 27358-2022")</f>
        <v/>
      </c>
      <c r="Y304">
        <f>HYPERLINK("https://klasma.github.io/Logging_0662/tillsynsmail/A 27358-2022 tillsynsbegäran mail.docx", "A 27358-2022")</f>
        <v/>
      </c>
    </row>
    <row r="305" ht="15" customHeight="1">
      <c r="A305" t="inlineStr">
        <is>
          <t>A 28349-2022</t>
        </is>
      </c>
      <c r="B305" s="1" t="n">
        <v>44747</v>
      </c>
      <c r="C305" s="1" t="n">
        <v>45716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Grönvit nattviol</t>
        </is>
      </c>
      <c r="S305">
        <f>HYPERLINK("https://klasma.github.io/Logging_0685/artfynd/A 28349-2022 artfynd.xlsx", "A 28349-2022")</f>
        <v/>
      </c>
      <c r="T305">
        <f>HYPERLINK("https://klasma.github.io/Logging_0685/kartor/A 28349-2022 karta.png", "A 28349-2022")</f>
        <v/>
      </c>
      <c r="V305">
        <f>HYPERLINK("https://klasma.github.io/Logging_0685/klagomål/A 28349-2022 FSC-klagomål.docx", "A 28349-2022")</f>
        <v/>
      </c>
      <c r="W305">
        <f>HYPERLINK("https://klasma.github.io/Logging_0685/klagomålsmail/A 28349-2022 FSC-klagomål mail.docx", "A 28349-2022")</f>
        <v/>
      </c>
      <c r="X305">
        <f>HYPERLINK("https://klasma.github.io/Logging_0685/tillsyn/A 28349-2022 tillsynsbegäran.docx", "A 28349-2022")</f>
        <v/>
      </c>
      <c r="Y305">
        <f>HYPERLINK("https://klasma.github.io/Logging_0685/tillsynsmail/A 28349-2022 tillsynsbegäran mail.docx", "A 28349-2022")</f>
        <v/>
      </c>
    </row>
    <row r="306" ht="15" customHeight="1">
      <c r="A306" t="inlineStr">
        <is>
          <t>A 28452-2022</t>
        </is>
      </c>
      <c r="B306" s="1" t="n">
        <v>44747</v>
      </c>
      <c r="C306" s="1" t="n">
        <v>45716</v>
      </c>
      <c r="D306" t="inlineStr">
        <is>
          <t>JÖNKÖPINGS LÄN</t>
        </is>
      </c>
      <c r="E306" t="inlineStr">
        <is>
          <t>ANEBY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Odontocerum albicorne</t>
        </is>
      </c>
      <c r="S306">
        <f>HYPERLINK("https://klasma.github.io/Logging_0604/artfynd/A 28452-2022 artfynd.xlsx", "A 28452-2022")</f>
        <v/>
      </c>
      <c r="T306">
        <f>HYPERLINK("https://klasma.github.io/Logging_0604/kartor/A 28452-2022 karta.png", "A 28452-2022")</f>
        <v/>
      </c>
      <c r="V306">
        <f>HYPERLINK("https://klasma.github.io/Logging_0604/klagomål/A 28452-2022 FSC-klagomål.docx", "A 28452-2022")</f>
        <v/>
      </c>
      <c r="W306">
        <f>HYPERLINK("https://klasma.github.io/Logging_0604/klagomålsmail/A 28452-2022 FSC-klagomål mail.docx", "A 28452-2022")</f>
        <v/>
      </c>
      <c r="X306">
        <f>HYPERLINK("https://klasma.github.io/Logging_0604/tillsyn/A 28452-2022 tillsynsbegäran.docx", "A 28452-2022")</f>
        <v/>
      </c>
      <c r="Y306">
        <f>HYPERLINK("https://klasma.github.io/Logging_0604/tillsynsmail/A 28452-2022 tillsynsbegäran mail.docx", "A 28452-2022")</f>
        <v/>
      </c>
    </row>
    <row r="307" ht="15" customHeight="1">
      <c r="A307" t="inlineStr">
        <is>
          <t>A 29382-2022</t>
        </is>
      </c>
      <c r="B307" s="1" t="n">
        <v>44753</v>
      </c>
      <c r="C307" s="1" t="n">
        <v>45716</v>
      </c>
      <c r="D307" t="inlineStr">
        <is>
          <t>JÖNKÖPINGS LÄN</t>
        </is>
      </c>
      <c r="E307" t="inlineStr">
        <is>
          <t>TRANÅS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HYPERLINK("https://klasma.github.io/Logging_0687/artfynd/A 29382-2022 artfynd.xlsx", "A 29382-2022")</f>
        <v/>
      </c>
      <c r="T307">
        <f>HYPERLINK("https://klasma.github.io/Logging_0687/kartor/A 29382-2022 karta.png", "A 29382-2022")</f>
        <v/>
      </c>
      <c r="V307">
        <f>HYPERLINK("https://klasma.github.io/Logging_0687/klagomål/A 29382-2022 FSC-klagomål.docx", "A 29382-2022")</f>
        <v/>
      </c>
      <c r="W307">
        <f>HYPERLINK("https://klasma.github.io/Logging_0687/klagomålsmail/A 29382-2022 FSC-klagomål mail.docx", "A 29382-2022")</f>
        <v/>
      </c>
      <c r="X307">
        <f>HYPERLINK("https://klasma.github.io/Logging_0687/tillsyn/A 29382-2022 tillsynsbegäran.docx", "A 29382-2022")</f>
        <v/>
      </c>
      <c r="Y307">
        <f>HYPERLINK("https://klasma.github.io/Logging_0687/tillsynsmail/A 29382-2022 tillsynsbegäran mail.docx", "A 29382-2022")</f>
        <v/>
      </c>
    </row>
    <row r="308" ht="15" customHeight="1">
      <c r="A308" t="inlineStr">
        <is>
          <t>A 30362-2022</t>
        </is>
      </c>
      <c r="B308" s="1" t="n">
        <v>44760</v>
      </c>
      <c r="C308" s="1" t="n">
        <v>45716</v>
      </c>
      <c r="D308" t="inlineStr">
        <is>
          <t>JÖNKÖPINGS LÄN</t>
        </is>
      </c>
      <c r="E308" t="inlineStr">
        <is>
          <t>GISLAVED</t>
        </is>
      </c>
      <c r="G308" t="n">
        <v>3.1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HYPERLINK("https://klasma.github.io/Logging_0662/artfynd/A 30362-2022 artfynd.xlsx", "A 30362-2022")</f>
        <v/>
      </c>
      <c r="T308">
        <f>HYPERLINK("https://klasma.github.io/Logging_0662/kartor/A 30362-2022 karta.png", "A 30362-2022")</f>
        <v/>
      </c>
      <c r="U308">
        <f>HYPERLINK("https://klasma.github.io/Logging_0662/knärot/A 30362-2022 karta knärot.png", "A 30362-2022")</f>
        <v/>
      </c>
      <c r="V308">
        <f>HYPERLINK("https://klasma.github.io/Logging_0662/klagomål/A 30362-2022 FSC-klagomål.docx", "A 30362-2022")</f>
        <v/>
      </c>
      <c r="W308">
        <f>HYPERLINK("https://klasma.github.io/Logging_0662/klagomålsmail/A 30362-2022 FSC-klagomål mail.docx", "A 30362-2022")</f>
        <v/>
      </c>
      <c r="X308">
        <f>HYPERLINK("https://klasma.github.io/Logging_0662/tillsyn/A 30362-2022 tillsynsbegäran.docx", "A 30362-2022")</f>
        <v/>
      </c>
      <c r="Y308">
        <f>HYPERLINK("https://klasma.github.io/Logging_0662/tillsynsmail/A 30362-2022 tillsynsbegäran mail.docx", "A 30362-2022")</f>
        <v/>
      </c>
    </row>
    <row r="309" ht="15" customHeight="1">
      <c r="A309" t="inlineStr">
        <is>
          <t>A 35548-2022</t>
        </is>
      </c>
      <c r="B309" s="1" t="n">
        <v>44799</v>
      </c>
      <c r="C309" s="1" t="n">
        <v>45716</v>
      </c>
      <c r="D309" t="inlineStr">
        <is>
          <t>JÖNKÖPINGS LÄN</t>
        </is>
      </c>
      <c r="E309" t="inlineStr">
        <is>
          <t>EKSJÖ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Bandnate</t>
        </is>
      </c>
      <c r="S309">
        <f>HYPERLINK("https://klasma.github.io/Logging_0686/artfynd/A 35548-2022 artfynd.xlsx", "A 35548-2022")</f>
        <v/>
      </c>
      <c r="T309">
        <f>HYPERLINK("https://klasma.github.io/Logging_0686/kartor/A 35548-2022 karta.png", "A 35548-2022")</f>
        <v/>
      </c>
      <c r="V309">
        <f>HYPERLINK("https://klasma.github.io/Logging_0686/klagomål/A 35548-2022 FSC-klagomål.docx", "A 35548-2022")</f>
        <v/>
      </c>
      <c r="W309">
        <f>HYPERLINK("https://klasma.github.io/Logging_0686/klagomålsmail/A 35548-2022 FSC-klagomål mail.docx", "A 35548-2022")</f>
        <v/>
      </c>
      <c r="X309">
        <f>HYPERLINK("https://klasma.github.io/Logging_0686/tillsyn/A 35548-2022 tillsynsbegäran.docx", "A 35548-2022")</f>
        <v/>
      </c>
      <c r="Y309">
        <f>HYPERLINK("https://klasma.github.io/Logging_0686/tillsynsmail/A 35548-2022 tillsynsbegäran mail.docx", "A 35548-2022")</f>
        <v/>
      </c>
    </row>
    <row r="310" ht="15" customHeight="1">
      <c r="A310" t="inlineStr">
        <is>
          <t>A 39612-2022</t>
        </is>
      </c>
      <c r="B310" s="1" t="n">
        <v>44818</v>
      </c>
      <c r="C310" s="1" t="n">
        <v>45716</v>
      </c>
      <c r="D310" t="inlineStr">
        <is>
          <t>JÖNKÖPINGS LÄN</t>
        </is>
      </c>
      <c r="E310" t="inlineStr">
        <is>
          <t>VETLANDA</t>
        </is>
      </c>
      <c r="G310" t="n">
        <v>7.6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HYPERLINK("https://klasma.github.io/Logging_0685/artfynd/A 39612-2022 artfynd.xlsx", "A 39612-2022")</f>
        <v/>
      </c>
      <c r="T310">
        <f>HYPERLINK("https://klasma.github.io/Logging_0685/kartor/A 39612-2022 karta.png", "A 39612-2022")</f>
        <v/>
      </c>
      <c r="V310">
        <f>HYPERLINK("https://klasma.github.io/Logging_0685/klagomål/A 39612-2022 FSC-klagomål.docx", "A 39612-2022")</f>
        <v/>
      </c>
      <c r="W310">
        <f>HYPERLINK("https://klasma.github.io/Logging_0685/klagomålsmail/A 39612-2022 FSC-klagomål mail.docx", "A 39612-2022")</f>
        <v/>
      </c>
      <c r="X310">
        <f>HYPERLINK("https://klasma.github.io/Logging_0685/tillsyn/A 39612-2022 tillsynsbegäran.docx", "A 39612-2022")</f>
        <v/>
      </c>
      <c r="Y310">
        <f>HYPERLINK("https://klasma.github.io/Logging_0685/tillsynsmail/A 39612-2022 tillsynsbegäran mail.docx", "A 39612-2022")</f>
        <v/>
      </c>
    </row>
    <row r="311" ht="15" customHeight="1">
      <c r="A311" t="inlineStr">
        <is>
          <t>A 39857-2022</t>
        </is>
      </c>
      <c r="B311" s="1" t="n">
        <v>44819</v>
      </c>
      <c r="C311" s="1" t="n">
        <v>45716</v>
      </c>
      <c r="D311" t="inlineStr">
        <is>
          <t>JÖNKÖPINGS LÄN</t>
        </is>
      </c>
      <c r="E311" t="inlineStr">
        <is>
          <t>VETLANDA</t>
        </is>
      </c>
      <c r="G311" t="n">
        <v>11.8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HYPERLINK("https://klasma.github.io/Logging_0685/artfynd/A 39857-2022 artfynd.xlsx", "A 39857-2022")</f>
        <v/>
      </c>
      <c r="T311">
        <f>HYPERLINK("https://klasma.github.io/Logging_0685/kartor/A 39857-2022 karta.png", "A 39857-2022")</f>
        <v/>
      </c>
      <c r="V311">
        <f>HYPERLINK("https://klasma.github.io/Logging_0685/klagomål/A 39857-2022 FSC-klagomål.docx", "A 39857-2022")</f>
        <v/>
      </c>
      <c r="W311">
        <f>HYPERLINK("https://klasma.github.io/Logging_0685/klagomålsmail/A 39857-2022 FSC-klagomål mail.docx", "A 39857-2022")</f>
        <v/>
      </c>
      <c r="X311">
        <f>HYPERLINK("https://klasma.github.io/Logging_0685/tillsyn/A 39857-2022 tillsynsbegäran.docx", "A 39857-2022")</f>
        <v/>
      </c>
      <c r="Y311">
        <f>HYPERLINK("https://klasma.github.io/Logging_0685/tillsynsmail/A 39857-2022 tillsynsbegäran mail.docx", "A 39857-2022")</f>
        <v/>
      </c>
    </row>
    <row r="312" ht="15" customHeight="1">
      <c r="A312" t="inlineStr">
        <is>
          <t>A 40772-2022</t>
        </is>
      </c>
      <c r="B312" s="1" t="n">
        <v>44824</v>
      </c>
      <c r="C312" s="1" t="n">
        <v>45716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HYPERLINK("https://klasma.github.io/Logging_0680/artfynd/A 40772-2022 artfynd.xlsx", "A 40772-2022")</f>
        <v/>
      </c>
      <c r="T312">
        <f>HYPERLINK("https://klasma.github.io/Logging_0680/kartor/A 40772-2022 karta.png", "A 40772-2022")</f>
        <v/>
      </c>
      <c r="V312">
        <f>HYPERLINK("https://klasma.github.io/Logging_0680/klagomål/A 40772-2022 FSC-klagomål.docx", "A 40772-2022")</f>
        <v/>
      </c>
      <c r="W312">
        <f>HYPERLINK("https://klasma.github.io/Logging_0680/klagomålsmail/A 40772-2022 FSC-klagomål mail.docx", "A 40772-2022")</f>
        <v/>
      </c>
      <c r="X312">
        <f>HYPERLINK("https://klasma.github.io/Logging_0680/tillsyn/A 40772-2022 tillsynsbegäran.docx", "A 40772-2022")</f>
        <v/>
      </c>
      <c r="Y312">
        <f>HYPERLINK("https://klasma.github.io/Logging_0680/tillsynsmail/A 40772-2022 tillsynsbegäran mail.docx", "A 40772-2022")</f>
        <v/>
      </c>
    </row>
    <row r="313" ht="15" customHeight="1">
      <c r="A313" t="inlineStr">
        <is>
          <t>A 42142-2022</t>
        </is>
      </c>
      <c r="B313" s="1" t="n">
        <v>44830</v>
      </c>
      <c r="C313" s="1" t="n">
        <v>45716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42142-2022 artfynd.xlsx", "A 42142-2022")</f>
        <v/>
      </c>
      <c r="T313">
        <f>HYPERLINK("https://klasma.github.io/Logging_0685/kartor/A 42142-2022 karta.png", "A 42142-2022")</f>
        <v/>
      </c>
      <c r="V313">
        <f>HYPERLINK("https://klasma.github.io/Logging_0685/klagomål/A 42142-2022 FSC-klagomål.docx", "A 42142-2022")</f>
        <v/>
      </c>
      <c r="W313">
        <f>HYPERLINK("https://klasma.github.io/Logging_0685/klagomålsmail/A 42142-2022 FSC-klagomål mail.docx", "A 42142-2022")</f>
        <v/>
      </c>
      <c r="X313">
        <f>HYPERLINK("https://klasma.github.io/Logging_0685/tillsyn/A 42142-2022 tillsynsbegäran.docx", "A 42142-2022")</f>
        <v/>
      </c>
      <c r="Y313">
        <f>HYPERLINK("https://klasma.github.io/Logging_0685/tillsynsmail/A 42142-2022 tillsynsbegäran mail.docx", "A 42142-2022")</f>
        <v/>
      </c>
    </row>
    <row r="314" ht="15" customHeight="1">
      <c r="A314" t="inlineStr">
        <is>
          <t>A 43385-2022</t>
        </is>
      </c>
      <c r="B314" s="1" t="n">
        <v>44834</v>
      </c>
      <c r="C314" s="1" t="n">
        <v>45716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43385-2022 artfynd.xlsx", "A 43385-2022")</f>
        <v/>
      </c>
      <c r="T314">
        <f>HYPERLINK("https://klasma.github.io/Logging_0685/kartor/A 43385-2022 karta.png", "A 43385-2022")</f>
        <v/>
      </c>
      <c r="V314">
        <f>HYPERLINK("https://klasma.github.io/Logging_0685/klagomål/A 43385-2022 FSC-klagomål.docx", "A 43385-2022")</f>
        <v/>
      </c>
      <c r="W314">
        <f>HYPERLINK("https://klasma.github.io/Logging_0685/klagomålsmail/A 43385-2022 FSC-klagomål mail.docx", "A 43385-2022")</f>
        <v/>
      </c>
      <c r="X314">
        <f>HYPERLINK("https://klasma.github.io/Logging_0685/tillsyn/A 43385-2022 tillsynsbegäran.docx", "A 43385-2022")</f>
        <v/>
      </c>
      <c r="Y314">
        <f>HYPERLINK("https://klasma.github.io/Logging_0685/tillsynsmail/A 43385-2022 tillsynsbegäran mail.docx", "A 43385-2022")</f>
        <v/>
      </c>
    </row>
    <row r="315" ht="15" customHeight="1">
      <c r="A315" t="inlineStr">
        <is>
          <t>A 43577-2022</t>
        </is>
      </c>
      <c r="B315" s="1" t="n">
        <v>44837</v>
      </c>
      <c r="C315" s="1" t="n">
        <v>45716</v>
      </c>
      <c r="D315" t="inlineStr">
        <is>
          <t>JÖNKÖPINGS LÄN</t>
        </is>
      </c>
      <c r="E315" t="inlineStr">
        <is>
          <t>NÄSSJÖ</t>
        </is>
      </c>
      <c r="G315" t="n">
        <v>1.9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Spindelblomster</t>
        </is>
      </c>
      <c r="S315">
        <f>HYPERLINK("https://klasma.github.io/Logging_0682/artfynd/A 43577-2022 artfynd.xlsx", "A 43577-2022")</f>
        <v/>
      </c>
      <c r="T315">
        <f>HYPERLINK("https://klasma.github.io/Logging_0682/kartor/A 43577-2022 karta.png", "A 43577-2022")</f>
        <v/>
      </c>
      <c r="V315">
        <f>HYPERLINK("https://klasma.github.io/Logging_0682/klagomål/A 43577-2022 FSC-klagomål.docx", "A 43577-2022")</f>
        <v/>
      </c>
      <c r="W315">
        <f>HYPERLINK("https://klasma.github.io/Logging_0682/klagomålsmail/A 43577-2022 FSC-klagomål mail.docx", "A 43577-2022")</f>
        <v/>
      </c>
      <c r="X315">
        <f>HYPERLINK("https://klasma.github.io/Logging_0682/tillsyn/A 43577-2022 tillsynsbegäran.docx", "A 43577-2022")</f>
        <v/>
      </c>
      <c r="Y315">
        <f>HYPERLINK("https://klasma.github.io/Logging_0682/tillsynsmail/A 43577-2022 tillsynsbegäran mail.docx", "A 43577-2022")</f>
        <v/>
      </c>
    </row>
    <row r="316" ht="15" customHeight="1">
      <c r="A316" t="inlineStr">
        <is>
          <t>A 44129-2022</t>
        </is>
      </c>
      <c r="B316" s="1" t="n">
        <v>44839</v>
      </c>
      <c r="C316" s="1" t="n">
        <v>45716</v>
      </c>
      <c r="D316" t="inlineStr">
        <is>
          <t>JÖNKÖPINGS LÄN</t>
        </is>
      </c>
      <c r="E316" t="inlineStr">
        <is>
          <t>NÄSSJÖ</t>
        </is>
      </c>
      <c r="G316" t="n">
        <v>2.2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44129-2022 artfynd.xlsx", "A 44129-2022")</f>
        <v/>
      </c>
      <c r="T316">
        <f>HYPERLINK("https://klasma.github.io/Logging_0682/kartor/A 44129-2022 karta.png", "A 44129-2022")</f>
        <v/>
      </c>
      <c r="U316">
        <f>HYPERLINK("https://klasma.github.io/Logging_0682/knärot/A 44129-2022 karta knärot.png", "A 44129-2022")</f>
        <v/>
      </c>
      <c r="V316">
        <f>HYPERLINK("https://klasma.github.io/Logging_0682/klagomål/A 44129-2022 FSC-klagomål.docx", "A 44129-2022")</f>
        <v/>
      </c>
      <c r="W316">
        <f>HYPERLINK("https://klasma.github.io/Logging_0682/klagomålsmail/A 44129-2022 FSC-klagomål mail.docx", "A 44129-2022")</f>
        <v/>
      </c>
      <c r="X316">
        <f>HYPERLINK("https://klasma.github.io/Logging_0682/tillsyn/A 44129-2022 tillsynsbegäran.docx", "A 44129-2022")</f>
        <v/>
      </c>
      <c r="Y316">
        <f>HYPERLINK("https://klasma.github.io/Logging_0682/tillsynsmail/A 44129-2022 tillsynsbegäran mail.docx", "A 44129-2022")</f>
        <v/>
      </c>
    </row>
    <row r="317" ht="15" customHeight="1">
      <c r="A317" t="inlineStr">
        <is>
          <t>A 44455-2022</t>
        </is>
      </c>
      <c r="B317" s="1" t="n">
        <v>44839</v>
      </c>
      <c r="C317" s="1" t="n">
        <v>45716</v>
      </c>
      <c r="D317" t="inlineStr">
        <is>
          <t>JÖNKÖPINGS LÄN</t>
        </is>
      </c>
      <c r="E317" t="inlineStr">
        <is>
          <t>NÄSSJÖ</t>
        </is>
      </c>
      <c r="G317" t="n">
        <v>5.3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44455-2022 artfynd.xlsx", "A 44455-2022")</f>
        <v/>
      </c>
      <c r="T317">
        <f>HYPERLINK("https://klasma.github.io/Logging_0682/kartor/A 44455-2022 karta.png", "A 44455-2022")</f>
        <v/>
      </c>
      <c r="U317">
        <f>HYPERLINK("https://klasma.github.io/Logging_0682/knärot/A 44455-2022 karta knärot.png", "A 44455-2022")</f>
        <v/>
      </c>
      <c r="V317">
        <f>HYPERLINK("https://klasma.github.io/Logging_0682/klagomål/A 44455-2022 FSC-klagomål.docx", "A 44455-2022")</f>
        <v/>
      </c>
      <c r="W317">
        <f>HYPERLINK("https://klasma.github.io/Logging_0682/klagomålsmail/A 44455-2022 FSC-klagomål mail.docx", "A 44455-2022")</f>
        <v/>
      </c>
      <c r="X317">
        <f>HYPERLINK("https://klasma.github.io/Logging_0682/tillsyn/A 44455-2022 tillsynsbegäran.docx", "A 44455-2022")</f>
        <v/>
      </c>
      <c r="Y317">
        <f>HYPERLINK("https://klasma.github.io/Logging_0682/tillsynsmail/A 44455-2022 tillsynsbegäran mail.docx", "A 44455-2022")</f>
        <v/>
      </c>
    </row>
    <row r="318" ht="15" customHeight="1">
      <c r="A318" t="inlineStr">
        <is>
          <t>A 45366-2022</t>
        </is>
      </c>
      <c r="B318" s="1" t="n">
        <v>44840</v>
      </c>
      <c r="C318" s="1" t="n">
        <v>45716</v>
      </c>
      <c r="D318" t="inlineStr">
        <is>
          <t>JÖNKÖPINGS LÄN</t>
        </is>
      </c>
      <c r="E318" t="inlineStr">
        <is>
          <t>JÖNKÖPING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Mörk husmossa</t>
        </is>
      </c>
      <c r="S318">
        <f>HYPERLINK("https://klasma.github.io/Logging_0680/artfynd/A 45366-2022 artfynd.xlsx", "A 45366-2022")</f>
        <v/>
      </c>
      <c r="T318">
        <f>HYPERLINK("https://klasma.github.io/Logging_0680/kartor/A 45366-2022 karta.png", "A 45366-2022")</f>
        <v/>
      </c>
      <c r="V318">
        <f>HYPERLINK("https://klasma.github.io/Logging_0680/klagomål/A 45366-2022 FSC-klagomål.docx", "A 45366-2022")</f>
        <v/>
      </c>
      <c r="W318">
        <f>HYPERLINK("https://klasma.github.io/Logging_0680/klagomålsmail/A 45366-2022 FSC-klagomål mail.docx", "A 45366-2022")</f>
        <v/>
      </c>
      <c r="X318">
        <f>HYPERLINK("https://klasma.github.io/Logging_0680/tillsyn/A 45366-2022 tillsynsbegäran.docx", "A 45366-2022")</f>
        <v/>
      </c>
      <c r="Y318">
        <f>HYPERLINK("https://klasma.github.io/Logging_0680/tillsynsmail/A 45366-2022 tillsynsbegäran mail.docx", "A 45366-2022")</f>
        <v/>
      </c>
    </row>
    <row r="319" ht="15" customHeight="1">
      <c r="A319" t="inlineStr">
        <is>
          <t>A 47729-2022</t>
        </is>
      </c>
      <c r="B319" s="1" t="n">
        <v>44854</v>
      </c>
      <c r="C319" s="1" t="n">
        <v>45716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4.8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Tibast</t>
        </is>
      </c>
      <c r="S319">
        <f>HYPERLINK("https://klasma.github.io/Logging_0686/artfynd/A 47729-2022 artfynd.xlsx", "A 47729-2022")</f>
        <v/>
      </c>
      <c r="T319">
        <f>HYPERLINK("https://klasma.github.io/Logging_0686/kartor/A 47729-2022 karta.png", "A 47729-2022")</f>
        <v/>
      </c>
      <c r="V319">
        <f>HYPERLINK("https://klasma.github.io/Logging_0686/klagomål/A 47729-2022 FSC-klagomål.docx", "A 47729-2022")</f>
        <v/>
      </c>
      <c r="W319">
        <f>HYPERLINK("https://klasma.github.io/Logging_0686/klagomålsmail/A 47729-2022 FSC-klagomål mail.docx", "A 47729-2022")</f>
        <v/>
      </c>
      <c r="X319">
        <f>HYPERLINK("https://klasma.github.io/Logging_0686/tillsyn/A 47729-2022 tillsynsbegäran.docx", "A 47729-2022")</f>
        <v/>
      </c>
      <c r="Y319">
        <f>HYPERLINK("https://klasma.github.io/Logging_0686/tillsynsmail/A 47729-2022 tillsynsbegäran mail.docx", "A 47729-2022")</f>
        <v/>
      </c>
    </row>
    <row r="320" ht="15" customHeight="1">
      <c r="A320" t="inlineStr">
        <is>
          <t>A 53298-2022</t>
        </is>
      </c>
      <c r="B320" s="1" t="n">
        <v>44877</v>
      </c>
      <c r="C320" s="1" t="n">
        <v>45716</v>
      </c>
      <c r="D320" t="inlineStr">
        <is>
          <t>JÖNKÖPINGS LÄN</t>
        </is>
      </c>
      <c r="E320" t="inlineStr">
        <is>
          <t>HABO</t>
        </is>
      </c>
      <c r="G320" t="n">
        <v>2.5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Skarp dropptaggsvamp</t>
        </is>
      </c>
      <c r="S320">
        <f>HYPERLINK("https://klasma.github.io/Logging_0643/artfynd/A 53298-2022 artfynd.xlsx", "A 53298-2022")</f>
        <v/>
      </c>
      <c r="T320">
        <f>HYPERLINK("https://klasma.github.io/Logging_0643/kartor/A 53298-2022 karta.png", "A 53298-2022")</f>
        <v/>
      </c>
      <c r="V320">
        <f>HYPERLINK("https://klasma.github.io/Logging_0643/klagomål/A 53298-2022 FSC-klagomål.docx", "A 53298-2022")</f>
        <v/>
      </c>
      <c r="W320">
        <f>HYPERLINK("https://klasma.github.io/Logging_0643/klagomålsmail/A 53298-2022 FSC-klagomål mail.docx", "A 53298-2022")</f>
        <v/>
      </c>
      <c r="X320">
        <f>HYPERLINK("https://klasma.github.io/Logging_0643/tillsyn/A 53298-2022 tillsynsbegäran.docx", "A 53298-2022")</f>
        <v/>
      </c>
      <c r="Y320">
        <f>HYPERLINK("https://klasma.github.io/Logging_0643/tillsynsmail/A 53298-2022 tillsynsbegäran mail.docx", "A 53298-2022")</f>
        <v/>
      </c>
    </row>
    <row r="321" ht="15" customHeight="1">
      <c r="A321" t="inlineStr">
        <is>
          <t>A 53585-2022</t>
        </is>
      </c>
      <c r="B321" s="1" t="n">
        <v>44879</v>
      </c>
      <c r="C321" s="1" t="n">
        <v>45716</v>
      </c>
      <c r="D321" t="inlineStr">
        <is>
          <t>JÖNKÖPINGS LÄN</t>
        </is>
      </c>
      <c r="E321" t="inlineStr">
        <is>
          <t>VÄRNAMO</t>
        </is>
      </c>
      <c r="G321" t="n">
        <v>0.8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Ängsstarr</t>
        </is>
      </c>
      <c r="S321">
        <f>HYPERLINK("https://klasma.github.io/Logging_0683/artfynd/A 53585-2022 artfynd.xlsx", "A 53585-2022")</f>
        <v/>
      </c>
      <c r="T321">
        <f>HYPERLINK("https://klasma.github.io/Logging_0683/kartor/A 53585-2022 karta.png", "A 53585-2022")</f>
        <v/>
      </c>
      <c r="V321">
        <f>HYPERLINK("https://klasma.github.io/Logging_0683/klagomål/A 53585-2022 FSC-klagomål.docx", "A 53585-2022")</f>
        <v/>
      </c>
      <c r="W321">
        <f>HYPERLINK("https://klasma.github.io/Logging_0683/klagomålsmail/A 53585-2022 FSC-klagomål mail.docx", "A 53585-2022")</f>
        <v/>
      </c>
      <c r="X321">
        <f>HYPERLINK("https://klasma.github.io/Logging_0683/tillsyn/A 53585-2022 tillsynsbegäran.docx", "A 53585-2022")</f>
        <v/>
      </c>
      <c r="Y321">
        <f>HYPERLINK("https://klasma.github.io/Logging_0683/tillsynsmail/A 53585-2022 tillsynsbegäran mail.docx", "A 53585-2022")</f>
        <v/>
      </c>
    </row>
    <row r="322" ht="15" customHeight="1">
      <c r="A322" t="inlineStr">
        <is>
          <t>A 53601-2022</t>
        </is>
      </c>
      <c r="B322" s="1" t="n">
        <v>44879</v>
      </c>
      <c r="C322" s="1" t="n">
        <v>45716</v>
      </c>
      <c r="D322" t="inlineStr">
        <is>
          <t>JÖNKÖPINGS LÄN</t>
        </is>
      </c>
      <c r="E322" t="inlineStr">
        <is>
          <t>JÖNKÖPING</t>
        </is>
      </c>
      <c r="G322" t="n">
        <v>3.8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53601-2022 artfynd.xlsx", "A 53601-2022")</f>
        <v/>
      </c>
      <c r="T322">
        <f>HYPERLINK("https://klasma.github.io/Logging_0680/kartor/A 53601-2022 karta.png", "A 53601-2022")</f>
        <v/>
      </c>
      <c r="U322">
        <f>HYPERLINK("https://klasma.github.io/Logging_0680/knärot/A 53601-2022 karta knärot.png", "A 53601-2022")</f>
        <v/>
      </c>
      <c r="V322">
        <f>HYPERLINK("https://klasma.github.io/Logging_0680/klagomål/A 53601-2022 FSC-klagomål.docx", "A 53601-2022")</f>
        <v/>
      </c>
      <c r="W322">
        <f>HYPERLINK("https://klasma.github.io/Logging_0680/klagomålsmail/A 53601-2022 FSC-klagomål mail.docx", "A 53601-2022")</f>
        <v/>
      </c>
      <c r="X322">
        <f>HYPERLINK("https://klasma.github.io/Logging_0680/tillsyn/A 53601-2022 tillsynsbegäran.docx", "A 53601-2022")</f>
        <v/>
      </c>
      <c r="Y322">
        <f>HYPERLINK("https://klasma.github.io/Logging_0680/tillsynsmail/A 53601-2022 tillsynsbegäran mail.docx", "A 53601-2022")</f>
        <v/>
      </c>
    </row>
    <row r="323" ht="15" customHeight="1">
      <c r="A323" t="inlineStr">
        <is>
          <t>A 53741-2022</t>
        </is>
      </c>
      <c r="B323" s="1" t="n">
        <v>44880</v>
      </c>
      <c r="C323" s="1" t="n">
        <v>45716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HYPERLINK("https://klasma.github.io/Logging_0685/artfynd/A 53741-2022 artfynd.xlsx", "A 53741-2022")</f>
        <v/>
      </c>
      <c r="T323">
        <f>HYPERLINK("https://klasma.github.io/Logging_0685/kartor/A 53741-2022 karta.png", "A 53741-2022")</f>
        <v/>
      </c>
      <c r="V323">
        <f>HYPERLINK("https://klasma.github.io/Logging_0685/klagomål/A 53741-2022 FSC-klagomål.docx", "A 53741-2022")</f>
        <v/>
      </c>
      <c r="W323">
        <f>HYPERLINK("https://klasma.github.io/Logging_0685/klagomålsmail/A 53741-2022 FSC-klagomål mail.docx", "A 53741-2022")</f>
        <v/>
      </c>
      <c r="X323">
        <f>HYPERLINK("https://klasma.github.io/Logging_0685/tillsyn/A 53741-2022 tillsynsbegäran.docx", "A 53741-2022")</f>
        <v/>
      </c>
      <c r="Y323">
        <f>HYPERLINK("https://klasma.github.io/Logging_0685/tillsynsmail/A 53741-2022 tillsynsbegäran mail.docx", "A 53741-2022")</f>
        <v/>
      </c>
    </row>
    <row r="324" ht="15" customHeight="1">
      <c r="A324" t="inlineStr">
        <is>
          <t>A 55860-2022</t>
        </is>
      </c>
      <c r="B324" s="1" t="n">
        <v>44886</v>
      </c>
      <c r="C324" s="1" t="n">
        <v>45716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55860-2022 artfynd.xlsx", "A 55860-2022")</f>
        <v/>
      </c>
      <c r="T324">
        <f>HYPERLINK("https://klasma.github.io/Logging_0682/kartor/A 55860-2022 karta.png", "A 55860-2022")</f>
        <v/>
      </c>
      <c r="U324">
        <f>HYPERLINK("https://klasma.github.io/Logging_0682/knärot/A 55860-2022 karta knärot.png", "A 55860-2022")</f>
        <v/>
      </c>
      <c r="V324">
        <f>HYPERLINK("https://klasma.github.io/Logging_0682/klagomål/A 55860-2022 FSC-klagomål.docx", "A 55860-2022")</f>
        <v/>
      </c>
      <c r="W324">
        <f>HYPERLINK("https://klasma.github.io/Logging_0682/klagomålsmail/A 55860-2022 FSC-klagomål mail.docx", "A 55860-2022")</f>
        <v/>
      </c>
      <c r="X324">
        <f>HYPERLINK("https://klasma.github.io/Logging_0682/tillsyn/A 55860-2022 tillsynsbegäran.docx", "A 55860-2022")</f>
        <v/>
      </c>
      <c r="Y324">
        <f>HYPERLINK("https://klasma.github.io/Logging_0682/tillsynsmail/A 55860-2022 tillsynsbegäran mail.docx", "A 55860-2022")</f>
        <v/>
      </c>
    </row>
    <row r="325" ht="15" customHeight="1">
      <c r="A325" t="inlineStr">
        <is>
          <t>A 56244-2022</t>
        </is>
      </c>
      <c r="B325" s="1" t="n">
        <v>44890</v>
      </c>
      <c r="C325" s="1" t="n">
        <v>45716</v>
      </c>
      <c r="D325" t="inlineStr">
        <is>
          <t>JÖNKÖPINGS LÄN</t>
        </is>
      </c>
      <c r="E325" t="inlineStr">
        <is>
          <t>MULLSJÖ</t>
        </is>
      </c>
      <c r="F325" t="inlineStr">
        <is>
          <t>Kyrkan</t>
        </is>
      </c>
      <c r="G325" t="n">
        <v>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Revlummer</t>
        </is>
      </c>
      <c r="S325">
        <f>HYPERLINK("https://klasma.github.io/Logging_0642/artfynd/A 56244-2022 artfynd.xlsx", "A 56244-2022")</f>
        <v/>
      </c>
      <c r="T325">
        <f>HYPERLINK("https://klasma.github.io/Logging_0642/kartor/A 56244-2022 karta.png", "A 56244-2022")</f>
        <v/>
      </c>
      <c r="V325">
        <f>HYPERLINK("https://klasma.github.io/Logging_0642/klagomål/A 56244-2022 FSC-klagomål.docx", "A 56244-2022")</f>
        <v/>
      </c>
      <c r="W325">
        <f>HYPERLINK("https://klasma.github.io/Logging_0642/klagomålsmail/A 56244-2022 FSC-klagomål mail.docx", "A 56244-2022")</f>
        <v/>
      </c>
      <c r="X325">
        <f>HYPERLINK("https://klasma.github.io/Logging_0642/tillsyn/A 56244-2022 tillsynsbegäran.docx", "A 56244-2022")</f>
        <v/>
      </c>
      <c r="Y325">
        <f>HYPERLINK("https://klasma.github.io/Logging_0642/tillsynsmail/A 56244-2022 tillsynsbegäran mail.docx", "A 56244-2022")</f>
        <v/>
      </c>
    </row>
    <row r="326" ht="15" customHeight="1">
      <c r="A326" t="inlineStr">
        <is>
          <t>A 56262-2022</t>
        </is>
      </c>
      <c r="B326" s="1" t="n">
        <v>44890</v>
      </c>
      <c r="C326" s="1" t="n">
        <v>45716</v>
      </c>
      <c r="D326" t="inlineStr">
        <is>
          <t>JÖNKÖPINGS LÄN</t>
        </is>
      </c>
      <c r="E326" t="inlineStr">
        <is>
          <t>VETLANDA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Slåttergubbe</t>
        </is>
      </c>
      <c r="S326">
        <f>HYPERLINK("https://klasma.github.io/Logging_0685/artfynd/A 56262-2022 artfynd.xlsx", "A 56262-2022")</f>
        <v/>
      </c>
      <c r="T326">
        <f>HYPERLINK("https://klasma.github.io/Logging_0685/kartor/A 56262-2022 karta.png", "A 56262-2022")</f>
        <v/>
      </c>
      <c r="V326">
        <f>HYPERLINK("https://klasma.github.io/Logging_0685/klagomål/A 56262-2022 FSC-klagomål.docx", "A 56262-2022")</f>
        <v/>
      </c>
      <c r="W326">
        <f>HYPERLINK("https://klasma.github.io/Logging_0685/klagomålsmail/A 56262-2022 FSC-klagomål mail.docx", "A 56262-2022")</f>
        <v/>
      </c>
      <c r="X326">
        <f>HYPERLINK("https://klasma.github.io/Logging_0685/tillsyn/A 56262-2022 tillsynsbegäran.docx", "A 56262-2022")</f>
        <v/>
      </c>
      <c r="Y326">
        <f>HYPERLINK("https://klasma.github.io/Logging_0685/tillsynsmail/A 56262-2022 tillsynsbegäran mail.docx", "A 56262-2022")</f>
        <v/>
      </c>
    </row>
    <row r="327" ht="15" customHeight="1">
      <c r="A327" t="inlineStr">
        <is>
          <t>A 57181-2022</t>
        </is>
      </c>
      <c r="B327" s="1" t="n">
        <v>44895</v>
      </c>
      <c r="C327" s="1" t="n">
        <v>45716</v>
      </c>
      <c r="D327" t="inlineStr">
        <is>
          <t>JÖNKÖPINGS LÄN</t>
        </is>
      </c>
      <c r="E327" t="inlineStr">
        <is>
          <t>VÄRNAMO</t>
        </is>
      </c>
      <c r="G327" t="n">
        <v>4.9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Vätteros</t>
        </is>
      </c>
      <c r="S327">
        <f>HYPERLINK("https://klasma.github.io/Logging_0683/artfynd/A 57181-2022 artfynd.xlsx", "A 57181-2022")</f>
        <v/>
      </c>
      <c r="T327">
        <f>HYPERLINK("https://klasma.github.io/Logging_0683/kartor/A 57181-2022 karta.png", "A 57181-2022")</f>
        <v/>
      </c>
      <c r="V327">
        <f>HYPERLINK("https://klasma.github.io/Logging_0683/klagomål/A 57181-2022 FSC-klagomål.docx", "A 57181-2022")</f>
        <v/>
      </c>
      <c r="W327">
        <f>HYPERLINK("https://klasma.github.io/Logging_0683/klagomålsmail/A 57181-2022 FSC-klagomål mail.docx", "A 57181-2022")</f>
        <v/>
      </c>
      <c r="X327">
        <f>HYPERLINK("https://klasma.github.io/Logging_0683/tillsyn/A 57181-2022 tillsynsbegäran.docx", "A 57181-2022")</f>
        <v/>
      </c>
      <c r="Y327">
        <f>HYPERLINK("https://klasma.github.io/Logging_0683/tillsynsmail/A 57181-2022 tillsynsbegäran mail.docx", "A 57181-2022")</f>
        <v/>
      </c>
    </row>
    <row r="328" ht="15" customHeight="1">
      <c r="A328" t="inlineStr">
        <is>
          <t>A 59894-2022</t>
        </is>
      </c>
      <c r="B328" s="1" t="n">
        <v>44908</v>
      </c>
      <c r="C328" s="1" t="n">
        <v>45716</v>
      </c>
      <c r="D328" t="inlineStr">
        <is>
          <t>JÖNKÖPINGS LÄN</t>
        </is>
      </c>
      <c r="E328" t="inlineStr">
        <is>
          <t>VETLANDA</t>
        </is>
      </c>
      <c r="G328" t="n">
        <v>3.8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Backklöver</t>
        </is>
      </c>
      <c r="S328">
        <f>HYPERLINK("https://klasma.github.io/Logging_0685/artfynd/A 59894-2022 artfynd.xlsx", "A 59894-2022")</f>
        <v/>
      </c>
      <c r="T328">
        <f>HYPERLINK("https://klasma.github.io/Logging_0685/kartor/A 59894-2022 karta.png", "A 59894-2022")</f>
        <v/>
      </c>
      <c r="V328">
        <f>HYPERLINK("https://klasma.github.io/Logging_0685/klagomål/A 59894-2022 FSC-klagomål.docx", "A 59894-2022")</f>
        <v/>
      </c>
      <c r="W328">
        <f>HYPERLINK("https://klasma.github.io/Logging_0685/klagomålsmail/A 59894-2022 FSC-klagomål mail.docx", "A 59894-2022")</f>
        <v/>
      </c>
      <c r="X328">
        <f>HYPERLINK("https://klasma.github.io/Logging_0685/tillsyn/A 59894-2022 tillsynsbegäran.docx", "A 59894-2022")</f>
        <v/>
      </c>
      <c r="Y328">
        <f>HYPERLINK("https://klasma.github.io/Logging_0685/tillsynsmail/A 59894-2022 tillsynsbegäran mail.docx", "A 59894-2022")</f>
        <v/>
      </c>
    </row>
    <row r="329" ht="15" customHeight="1">
      <c r="A329" t="inlineStr">
        <is>
          <t>A 61446-2022</t>
        </is>
      </c>
      <c r="B329" s="1" t="n">
        <v>44916</v>
      </c>
      <c r="C329" s="1" t="n">
        <v>45716</v>
      </c>
      <c r="D329" t="inlineStr">
        <is>
          <t>JÖNKÖPINGS LÄN</t>
        </is>
      </c>
      <c r="E329" t="inlineStr">
        <is>
          <t>VETLANDA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Krokfibbla</t>
        </is>
      </c>
      <c r="S329">
        <f>HYPERLINK("https://klasma.github.io/Logging_0685/artfynd/A 61446-2022 artfynd.xlsx", "A 61446-2022")</f>
        <v/>
      </c>
      <c r="T329">
        <f>HYPERLINK("https://klasma.github.io/Logging_0685/kartor/A 61446-2022 karta.png", "A 61446-2022")</f>
        <v/>
      </c>
      <c r="V329">
        <f>HYPERLINK("https://klasma.github.io/Logging_0685/klagomål/A 61446-2022 FSC-klagomål.docx", "A 61446-2022")</f>
        <v/>
      </c>
      <c r="W329">
        <f>HYPERLINK("https://klasma.github.io/Logging_0685/klagomålsmail/A 61446-2022 FSC-klagomål mail.docx", "A 61446-2022")</f>
        <v/>
      </c>
      <c r="X329">
        <f>HYPERLINK("https://klasma.github.io/Logging_0685/tillsyn/A 61446-2022 tillsynsbegäran.docx", "A 61446-2022")</f>
        <v/>
      </c>
      <c r="Y329">
        <f>HYPERLINK("https://klasma.github.io/Logging_0685/tillsynsmail/A 61446-2022 tillsynsbegäran mail.docx", "A 61446-2022")</f>
        <v/>
      </c>
    </row>
    <row r="330" ht="15" customHeight="1">
      <c r="A330" t="inlineStr">
        <is>
          <t>A 62297-2022</t>
        </is>
      </c>
      <c r="B330" s="1" t="n">
        <v>44923</v>
      </c>
      <c r="C330" s="1" t="n">
        <v>45716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Kattfotslav</t>
        </is>
      </c>
      <c r="S330">
        <f>HYPERLINK("https://klasma.github.io/Logging_0662/artfynd/A 62297-2022 artfynd.xlsx", "A 62297-2022")</f>
        <v/>
      </c>
      <c r="T330">
        <f>HYPERLINK("https://klasma.github.io/Logging_0662/kartor/A 62297-2022 karta.png", "A 62297-2022")</f>
        <v/>
      </c>
      <c r="V330">
        <f>HYPERLINK("https://klasma.github.io/Logging_0662/klagomål/A 62297-2022 FSC-klagomål.docx", "A 62297-2022")</f>
        <v/>
      </c>
      <c r="W330">
        <f>HYPERLINK("https://klasma.github.io/Logging_0662/klagomålsmail/A 62297-2022 FSC-klagomål mail.docx", "A 62297-2022")</f>
        <v/>
      </c>
      <c r="X330">
        <f>HYPERLINK("https://klasma.github.io/Logging_0662/tillsyn/A 62297-2022 tillsynsbegäran.docx", "A 62297-2022")</f>
        <v/>
      </c>
      <c r="Y330">
        <f>HYPERLINK("https://klasma.github.io/Logging_0662/tillsynsmail/A 62297-2022 tillsynsbegäran mail.docx", "A 62297-2022")</f>
        <v/>
      </c>
    </row>
    <row r="331" ht="15" customHeight="1">
      <c r="A331" t="inlineStr">
        <is>
          <t>A 58-2023</t>
        </is>
      </c>
      <c r="B331" s="1" t="n">
        <v>44928</v>
      </c>
      <c r="C331" s="1" t="n">
        <v>45716</v>
      </c>
      <c r="D331" t="inlineStr">
        <is>
          <t>JÖNKÖPINGS LÄN</t>
        </is>
      </c>
      <c r="E331" t="inlineStr">
        <is>
          <t>EKSJÖ</t>
        </is>
      </c>
      <c r="G331" t="n">
        <v>3.4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HYPERLINK("https://klasma.github.io/Logging_0686/artfynd/A 58-2023 artfynd.xlsx", "A 58-2023")</f>
        <v/>
      </c>
      <c r="T331">
        <f>HYPERLINK("https://klasma.github.io/Logging_0686/kartor/A 58-2023 karta.png", "A 58-2023")</f>
        <v/>
      </c>
      <c r="V331">
        <f>HYPERLINK("https://klasma.github.io/Logging_0686/klagomål/A 58-2023 FSC-klagomål.docx", "A 58-2023")</f>
        <v/>
      </c>
      <c r="W331">
        <f>HYPERLINK("https://klasma.github.io/Logging_0686/klagomålsmail/A 58-2023 FSC-klagomål mail.docx", "A 58-2023")</f>
        <v/>
      </c>
      <c r="X331">
        <f>HYPERLINK("https://klasma.github.io/Logging_0686/tillsyn/A 58-2023 tillsynsbegäran.docx", "A 58-2023")</f>
        <v/>
      </c>
      <c r="Y331">
        <f>HYPERLINK("https://klasma.github.io/Logging_0686/tillsynsmail/A 58-2023 tillsynsbegäran mail.docx", "A 58-2023")</f>
        <v/>
      </c>
    </row>
    <row r="332" ht="15" customHeight="1">
      <c r="A332" t="inlineStr">
        <is>
          <t>A 254-2023</t>
        </is>
      </c>
      <c r="B332" s="1" t="n">
        <v>44928</v>
      </c>
      <c r="C332" s="1" t="n">
        <v>45716</v>
      </c>
      <c r="D332" t="inlineStr">
        <is>
          <t>JÖNKÖPINGS LÄN</t>
        </is>
      </c>
      <c r="E332" t="inlineStr">
        <is>
          <t>NÄSSJÖ</t>
        </is>
      </c>
      <c r="G332" t="n">
        <v>7.7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HYPERLINK("https://klasma.github.io/Logging_0682/artfynd/A 254-2023 artfynd.xlsx", "A 254-2023")</f>
        <v/>
      </c>
      <c r="T332">
        <f>HYPERLINK("https://klasma.github.io/Logging_0682/kartor/A 254-2023 karta.png", "A 254-2023")</f>
        <v/>
      </c>
      <c r="V332">
        <f>HYPERLINK("https://klasma.github.io/Logging_0682/klagomål/A 254-2023 FSC-klagomål.docx", "A 254-2023")</f>
        <v/>
      </c>
      <c r="W332">
        <f>HYPERLINK("https://klasma.github.io/Logging_0682/klagomålsmail/A 254-2023 FSC-klagomål mail.docx", "A 254-2023")</f>
        <v/>
      </c>
      <c r="X332">
        <f>HYPERLINK("https://klasma.github.io/Logging_0682/tillsyn/A 254-2023 tillsynsbegäran.docx", "A 254-2023")</f>
        <v/>
      </c>
      <c r="Y332">
        <f>HYPERLINK("https://klasma.github.io/Logging_0682/tillsynsmail/A 254-2023 tillsynsbegäran mail.docx", "A 254-2023")</f>
        <v/>
      </c>
      <c r="Z332">
        <f>HYPERLINK("https://klasma.github.io/Logging_0682/fåglar/A 254-2023 prioriterade fågelarter.docx", "A 254-2023")</f>
        <v/>
      </c>
    </row>
    <row r="333" ht="15" customHeight="1">
      <c r="A333" t="inlineStr">
        <is>
          <t>A 2486-2023</t>
        </is>
      </c>
      <c r="B333" s="1" t="n">
        <v>44943</v>
      </c>
      <c r="C333" s="1" t="n">
        <v>45716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Solvända</t>
        </is>
      </c>
      <c r="S333">
        <f>HYPERLINK("https://klasma.github.io/Logging_0680/artfynd/A 2486-2023 artfynd.xlsx", "A 2486-2023")</f>
        <v/>
      </c>
      <c r="T333">
        <f>HYPERLINK("https://klasma.github.io/Logging_0680/kartor/A 2486-2023 karta.png", "A 2486-2023")</f>
        <v/>
      </c>
      <c r="V333">
        <f>HYPERLINK("https://klasma.github.io/Logging_0680/klagomål/A 2486-2023 FSC-klagomål.docx", "A 2486-2023")</f>
        <v/>
      </c>
      <c r="W333">
        <f>HYPERLINK("https://klasma.github.io/Logging_0680/klagomålsmail/A 2486-2023 FSC-klagomål mail.docx", "A 2486-2023")</f>
        <v/>
      </c>
      <c r="X333">
        <f>HYPERLINK("https://klasma.github.io/Logging_0680/tillsyn/A 2486-2023 tillsynsbegäran.docx", "A 2486-2023")</f>
        <v/>
      </c>
      <c r="Y333">
        <f>HYPERLINK("https://klasma.github.io/Logging_0680/tillsynsmail/A 2486-2023 tillsynsbegäran mail.docx", "A 2486-2023")</f>
        <v/>
      </c>
    </row>
    <row r="334" ht="15" customHeight="1">
      <c r="A334" t="inlineStr">
        <is>
          <t>A 5369-2023</t>
        </is>
      </c>
      <c r="B334" s="1" t="n">
        <v>44959</v>
      </c>
      <c r="C334" s="1" t="n">
        <v>45716</v>
      </c>
      <c r="D334" t="inlineStr">
        <is>
          <t>JÖNKÖPINGS LÄN</t>
        </is>
      </c>
      <c r="E334" t="inlineStr">
        <is>
          <t>VETLANDA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Trollsmultron</t>
        </is>
      </c>
      <c r="S334">
        <f>HYPERLINK("https://klasma.github.io/Logging_0685/artfynd/A 5369-2023 artfynd.xlsx", "A 5369-2023")</f>
        <v/>
      </c>
      <c r="T334">
        <f>HYPERLINK("https://klasma.github.io/Logging_0685/kartor/A 5369-2023 karta.png", "A 5369-2023")</f>
        <v/>
      </c>
      <c r="V334">
        <f>HYPERLINK("https://klasma.github.io/Logging_0685/klagomål/A 5369-2023 FSC-klagomål.docx", "A 5369-2023")</f>
        <v/>
      </c>
      <c r="W334">
        <f>HYPERLINK("https://klasma.github.io/Logging_0685/klagomålsmail/A 5369-2023 FSC-klagomål mail.docx", "A 5369-2023")</f>
        <v/>
      </c>
      <c r="X334">
        <f>HYPERLINK("https://klasma.github.io/Logging_0685/tillsyn/A 5369-2023 tillsynsbegäran.docx", "A 5369-2023")</f>
        <v/>
      </c>
      <c r="Y334">
        <f>HYPERLINK("https://klasma.github.io/Logging_0685/tillsynsmail/A 5369-2023 tillsynsbegäran mail.docx", "A 5369-2023")</f>
        <v/>
      </c>
    </row>
    <row r="335" ht="15" customHeight="1">
      <c r="A335" t="inlineStr">
        <is>
          <t>A 5906-2023</t>
        </is>
      </c>
      <c r="B335" s="1" t="n">
        <v>44963</v>
      </c>
      <c r="C335" s="1" t="n">
        <v>45716</v>
      </c>
      <c r="D335" t="inlineStr">
        <is>
          <t>JÖNKÖPINGS LÄN</t>
        </is>
      </c>
      <c r="E335" t="inlineStr">
        <is>
          <t>JÖNKÖPING</t>
        </is>
      </c>
      <c r="G335" t="n">
        <v>7.7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Storgröe</t>
        </is>
      </c>
      <c r="S335">
        <f>HYPERLINK("https://klasma.github.io/Logging_0680/artfynd/A 5906-2023 artfynd.xlsx", "A 5906-2023")</f>
        <v/>
      </c>
      <c r="T335">
        <f>HYPERLINK("https://klasma.github.io/Logging_0680/kartor/A 5906-2023 karta.png", "A 5906-2023")</f>
        <v/>
      </c>
      <c r="V335">
        <f>HYPERLINK("https://klasma.github.io/Logging_0680/klagomål/A 5906-2023 FSC-klagomål.docx", "A 5906-2023")</f>
        <v/>
      </c>
      <c r="W335">
        <f>HYPERLINK("https://klasma.github.io/Logging_0680/klagomålsmail/A 5906-2023 FSC-klagomål mail.docx", "A 5906-2023")</f>
        <v/>
      </c>
      <c r="X335">
        <f>HYPERLINK("https://klasma.github.io/Logging_0680/tillsyn/A 5906-2023 tillsynsbegäran.docx", "A 5906-2023")</f>
        <v/>
      </c>
      <c r="Y335">
        <f>HYPERLINK("https://klasma.github.io/Logging_0680/tillsynsmail/A 5906-2023 tillsynsbegäran mail.docx", "A 5906-2023")</f>
        <v/>
      </c>
    </row>
    <row r="336" ht="15" customHeight="1">
      <c r="A336" t="inlineStr">
        <is>
          <t>A 6359-2023</t>
        </is>
      </c>
      <c r="B336" s="1" t="n">
        <v>44965</v>
      </c>
      <c r="C336" s="1" t="n">
        <v>45716</v>
      </c>
      <c r="D336" t="inlineStr">
        <is>
          <t>JÖNKÖPINGS LÄN</t>
        </is>
      </c>
      <c r="E336" t="inlineStr">
        <is>
          <t>GISLAVED</t>
        </is>
      </c>
      <c r="F336" t="inlineStr">
        <is>
          <t>Kommuner</t>
        </is>
      </c>
      <c r="G336" t="n">
        <v>2.4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Safsa</t>
        </is>
      </c>
      <c r="S336">
        <f>HYPERLINK("https://klasma.github.io/Logging_0662/artfynd/A 6359-2023 artfynd.xlsx", "A 6359-2023")</f>
        <v/>
      </c>
      <c r="T336">
        <f>HYPERLINK("https://klasma.github.io/Logging_0662/kartor/A 6359-2023 karta.png", "A 6359-2023")</f>
        <v/>
      </c>
      <c r="V336">
        <f>HYPERLINK("https://klasma.github.io/Logging_0662/klagomål/A 6359-2023 FSC-klagomål.docx", "A 6359-2023")</f>
        <v/>
      </c>
      <c r="W336">
        <f>HYPERLINK("https://klasma.github.io/Logging_0662/klagomålsmail/A 6359-2023 FSC-klagomål mail.docx", "A 6359-2023")</f>
        <v/>
      </c>
      <c r="X336">
        <f>HYPERLINK("https://klasma.github.io/Logging_0662/tillsyn/A 6359-2023 tillsynsbegäran.docx", "A 6359-2023")</f>
        <v/>
      </c>
      <c r="Y336">
        <f>HYPERLINK("https://klasma.github.io/Logging_0662/tillsynsmail/A 6359-2023 tillsynsbegäran mail.docx", "A 6359-2023")</f>
        <v/>
      </c>
    </row>
    <row r="337" ht="15" customHeight="1">
      <c r="A337" t="inlineStr">
        <is>
          <t>A 8486-2023</t>
        </is>
      </c>
      <c r="B337" s="1" t="n">
        <v>44977</v>
      </c>
      <c r="C337" s="1" t="n">
        <v>45716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Gullviva</t>
        </is>
      </c>
      <c r="S337">
        <f>HYPERLINK("https://klasma.github.io/Logging_0662/artfynd/A 8486-2023 artfynd.xlsx", "A 8486-2023")</f>
        <v/>
      </c>
      <c r="T337">
        <f>HYPERLINK("https://klasma.github.io/Logging_0662/kartor/A 8486-2023 karta.png", "A 8486-2023")</f>
        <v/>
      </c>
      <c r="V337">
        <f>HYPERLINK("https://klasma.github.io/Logging_0662/klagomål/A 8486-2023 FSC-klagomål.docx", "A 8486-2023")</f>
        <v/>
      </c>
      <c r="W337">
        <f>HYPERLINK("https://klasma.github.io/Logging_0662/klagomålsmail/A 8486-2023 FSC-klagomål mail.docx", "A 8486-2023")</f>
        <v/>
      </c>
      <c r="X337">
        <f>HYPERLINK("https://klasma.github.io/Logging_0662/tillsyn/A 8486-2023 tillsynsbegäran.docx", "A 8486-2023")</f>
        <v/>
      </c>
      <c r="Y337">
        <f>HYPERLINK("https://klasma.github.io/Logging_0662/tillsynsmail/A 8486-2023 tillsynsbegäran mail.docx", "A 8486-2023")</f>
        <v/>
      </c>
    </row>
    <row r="338" ht="15" customHeight="1">
      <c r="A338" t="inlineStr">
        <is>
          <t>A 8483-2023</t>
        </is>
      </c>
      <c r="B338" s="1" t="n">
        <v>44977</v>
      </c>
      <c r="C338" s="1" t="n">
        <v>45716</v>
      </c>
      <c r="D338" t="inlineStr">
        <is>
          <t>JÖNKÖPINGS LÄN</t>
        </is>
      </c>
      <c r="E338" t="inlineStr">
        <is>
          <t>GISLAVED</t>
        </is>
      </c>
      <c r="G338" t="n">
        <v>2.6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Större vattensalamander</t>
        </is>
      </c>
      <c r="S338">
        <f>HYPERLINK("https://klasma.github.io/Logging_0662/artfynd/A 8483-2023 artfynd.xlsx", "A 8483-2023")</f>
        <v/>
      </c>
      <c r="T338">
        <f>HYPERLINK("https://klasma.github.io/Logging_0662/kartor/A 8483-2023 karta.png", "A 8483-2023")</f>
        <v/>
      </c>
      <c r="V338">
        <f>HYPERLINK("https://klasma.github.io/Logging_0662/klagomål/A 8483-2023 FSC-klagomål.docx", "A 8483-2023")</f>
        <v/>
      </c>
      <c r="W338">
        <f>HYPERLINK("https://klasma.github.io/Logging_0662/klagomålsmail/A 8483-2023 FSC-klagomål mail.docx", "A 8483-2023")</f>
        <v/>
      </c>
      <c r="X338">
        <f>HYPERLINK("https://klasma.github.io/Logging_0662/tillsyn/A 8483-2023 tillsynsbegäran.docx", "A 8483-2023")</f>
        <v/>
      </c>
      <c r="Y338">
        <f>HYPERLINK("https://klasma.github.io/Logging_0662/tillsynsmail/A 8483-2023 tillsynsbegäran mail.docx", "A 8483-2023")</f>
        <v/>
      </c>
    </row>
    <row r="339" ht="15" customHeight="1">
      <c r="A339" t="inlineStr">
        <is>
          <t>A 9986-2023</t>
        </is>
      </c>
      <c r="B339" s="1" t="n">
        <v>44979</v>
      </c>
      <c r="C339" s="1" t="n">
        <v>45716</v>
      </c>
      <c r="D339" t="inlineStr">
        <is>
          <t>JÖNKÖPINGS LÄN</t>
        </is>
      </c>
      <c r="E339" t="inlineStr">
        <is>
          <t>VÄRNAMO</t>
        </is>
      </c>
      <c r="G339" t="n">
        <v>4.1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HYPERLINK("https://klasma.github.io/Logging_0683/artfynd/A 9986-2023 artfynd.xlsx", "A 9986-2023")</f>
        <v/>
      </c>
      <c r="T339">
        <f>HYPERLINK("https://klasma.github.io/Logging_0683/kartor/A 9986-2023 karta.png", "A 9986-2023")</f>
        <v/>
      </c>
      <c r="V339">
        <f>HYPERLINK("https://klasma.github.io/Logging_0683/klagomål/A 9986-2023 FSC-klagomål.docx", "A 9986-2023")</f>
        <v/>
      </c>
      <c r="W339">
        <f>HYPERLINK("https://klasma.github.io/Logging_0683/klagomålsmail/A 9986-2023 FSC-klagomål mail.docx", "A 9986-2023")</f>
        <v/>
      </c>
      <c r="X339">
        <f>HYPERLINK("https://klasma.github.io/Logging_0683/tillsyn/A 9986-2023 tillsynsbegäran.docx", "A 9986-2023")</f>
        <v/>
      </c>
      <c r="Y339">
        <f>HYPERLINK("https://klasma.github.io/Logging_0683/tillsynsmail/A 9986-2023 tillsynsbegäran mail.docx", "A 9986-2023")</f>
        <v/>
      </c>
    </row>
    <row r="340" ht="15" customHeight="1">
      <c r="A340" t="inlineStr">
        <is>
          <t>A 11022-2023</t>
        </is>
      </c>
      <c r="B340" s="1" t="n">
        <v>44991</v>
      </c>
      <c r="C340" s="1" t="n">
        <v>45716</v>
      </c>
      <c r="D340" t="inlineStr">
        <is>
          <t>JÖNKÖPINGS LÄN</t>
        </is>
      </c>
      <c r="E340" t="inlineStr">
        <is>
          <t>ANEBY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Svinrot</t>
        </is>
      </c>
      <c r="S340">
        <f>HYPERLINK("https://klasma.github.io/Logging_0604/artfynd/A 11022-2023 artfynd.xlsx", "A 11022-2023")</f>
        <v/>
      </c>
      <c r="T340">
        <f>HYPERLINK("https://klasma.github.io/Logging_0604/kartor/A 11022-2023 karta.png", "A 11022-2023")</f>
        <v/>
      </c>
      <c r="V340">
        <f>HYPERLINK("https://klasma.github.io/Logging_0604/klagomål/A 11022-2023 FSC-klagomål.docx", "A 11022-2023")</f>
        <v/>
      </c>
      <c r="W340">
        <f>HYPERLINK("https://klasma.github.io/Logging_0604/klagomålsmail/A 11022-2023 FSC-klagomål mail.docx", "A 11022-2023")</f>
        <v/>
      </c>
      <c r="X340">
        <f>HYPERLINK("https://klasma.github.io/Logging_0604/tillsyn/A 11022-2023 tillsynsbegäran.docx", "A 11022-2023")</f>
        <v/>
      </c>
      <c r="Y340">
        <f>HYPERLINK("https://klasma.github.io/Logging_0604/tillsynsmail/A 11022-2023 tillsynsbegäran mail.docx", "A 11022-2023")</f>
        <v/>
      </c>
    </row>
    <row r="341" ht="15" customHeight="1">
      <c r="A341" t="inlineStr">
        <is>
          <t>A 10919-2023</t>
        </is>
      </c>
      <c r="B341" s="1" t="n">
        <v>44991</v>
      </c>
      <c r="C341" s="1" t="n">
        <v>45716</v>
      </c>
      <c r="D341" t="inlineStr">
        <is>
          <t>JÖNKÖPINGS LÄN</t>
        </is>
      </c>
      <c r="E341" t="inlineStr">
        <is>
          <t>VETLANDA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HYPERLINK("https://klasma.github.io/Logging_0685/artfynd/A 10919-2023 artfynd.xlsx", "A 10919-2023")</f>
        <v/>
      </c>
      <c r="T341">
        <f>HYPERLINK("https://klasma.github.io/Logging_0685/kartor/A 10919-2023 karta.png", "A 10919-2023")</f>
        <v/>
      </c>
      <c r="V341">
        <f>HYPERLINK("https://klasma.github.io/Logging_0685/klagomål/A 10919-2023 FSC-klagomål.docx", "A 10919-2023")</f>
        <v/>
      </c>
      <c r="W341">
        <f>HYPERLINK("https://klasma.github.io/Logging_0685/klagomålsmail/A 10919-2023 FSC-klagomål mail.docx", "A 10919-2023")</f>
        <v/>
      </c>
      <c r="X341">
        <f>HYPERLINK("https://klasma.github.io/Logging_0685/tillsyn/A 10919-2023 tillsynsbegäran.docx", "A 10919-2023")</f>
        <v/>
      </c>
      <c r="Y341">
        <f>HYPERLINK("https://klasma.github.io/Logging_0685/tillsynsmail/A 10919-2023 tillsynsbegäran mail.docx", "A 10919-2023")</f>
        <v/>
      </c>
    </row>
    <row r="342" ht="15" customHeight="1">
      <c r="A342" t="inlineStr">
        <is>
          <t>A 11250-2023</t>
        </is>
      </c>
      <c r="B342" s="1" t="n">
        <v>44992</v>
      </c>
      <c r="C342" s="1" t="n">
        <v>45716</v>
      </c>
      <c r="D342" t="inlineStr">
        <is>
          <t>JÖNKÖPINGS LÄN</t>
        </is>
      </c>
      <c r="E342" t="inlineStr">
        <is>
          <t>JÖNKÖPING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Tjäder</t>
        </is>
      </c>
      <c r="S342">
        <f>HYPERLINK("https://klasma.github.io/Logging_0680/artfynd/A 11250-2023 artfynd.xlsx", "A 11250-2023")</f>
        <v/>
      </c>
      <c r="T342">
        <f>HYPERLINK("https://klasma.github.io/Logging_0680/kartor/A 11250-2023 karta.png", "A 11250-2023")</f>
        <v/>
      </c>
      <c r="V342">
        <f>HYPERLINK("https://klasma.github.io/Logging_0680/klagomål/A 11250-2023 FSC-klagomål.docx", "A 11250-2023")</f>
        <v/>
      </c>
      <c r="W342">
        <f>HYPERLINK("https://klasma.github.io/Logging_0680/klagomålsmail/A 11250-2023 FSC-klagomål mail.docx", "A 11250-2023")</f>
        <v/>
      </c>
      <c r="X342">
        <f>HYPERLINK("https://klasma.github.io/Logging_0680/tillsyn/A 11250-2023 tillsynsbegäran.docx", "A 11250-2023")</f>
        <v/>
      </c>
      <c r="Y342">
        <f>HYPERLINK("https://klasma.github.io/Logging_0680/tillsynsmail/A 11250-2023 tillsynsbegäran mail.docx", "A 11250-2023")</f>
        <v/>
      </c>
      <c r="Z342">
        <f>HYPERLINK("https://klasma.github.io/Logging_0680/fåglar/A 11250-2023 prioriterade fågelarter.docx", "A 11250-2023")</f>
        <v/>
      </c>
    </row>
    <row r="343" ht="15" customHeight="1">
      <c r="A343" t="inlineStr">
        <is>
          <t>A 11256-2023</t>
        </is>
      </c>
      <c r="B343" s="1" t="n">
        <v>44992</v>
      </c>
      <c r="C343" s="1" t="n">
        <v>45716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11256-2023 artfynd.xlsx", "A 11256-2023")</f>
        <v/>
      </c>
      <c r="T343">
        <f>HYPERLINK("https://klasma.github.io/Logging_0680/kartor/A 11256-2023 karta.png", "A 11256-2023")</f>
        <v/>
      </c>
      <c r="V343">
        <f>HYPERLINK("https://klasma.github.io/Logging_0680/klagomål/A 11256-2023 FSC-klagomål.docx", "A 11256-2023")</f>
        <v/>
      </c>
      <c r="W343">
        <f>HYPERLINK("https://klasma.github.io/Logging_0680/klagomålsmail/A 11256-2023 FSC-klagomål mail.docx", "A 11256-2023")</f>
        <v/>
      </c>
      <c r="X343">
        <f>HYPERLINK("https://klasma.github.io/Logging_0680/tillsyn/A 11256-2023 tillsynsbegäran.docx", "A 11256-2023")</f>
        <v/>
      </c>
      <c r="Y343">
        <f>HYPERLINK("https://klasma.github.io/Logging_0680/tillsynsmail/A 11256-2023 tillsynsbegäran mail.docx", "A 11256-2023")</f>
        <v/>
      </c>
    </row>
    <row r="344" ht="15" customHeight="1">
      <c r="A344" t="inlineStr">
        <is>
          <t>A 11983-2023</t>
        </is>
      </c>
      <c r="B344" s="1" t="n">
        <v>44994</v>
      </c>
      <c r="C344" s="1" t="n">
        <v>45716</v>
      </c>
      <c r="D344" t="inlineStr">
        <is>
          <t>JÖNKÖPINGS LÄN</t>
        </is>
      </c>
      <c r="E344" t="inlineStr">
        <is>
          <t>JÖNKÖPING</t>
        </is>
      </c>
      <c r="G344" t="n">
        <v>0.8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HYPERLINK("https://klasma.github.io/Logging_0680/artfynd/A 11983-2023 artfynd.xlsx", "A 11983-2023")</f>
        <v/>
      </c>
      <c r="T344">
        <f>HYPERLINK("https://klasma.github.io/Logging_0680/kartor/A 11983-2023 karta.png", "A 11983-2023")</f>
        <v/>
      </c>
      <c r="V344">
        <f>HYPERLINK("https://klasma.github.io/Logging_0680/klagomål/A 11983-2023 FSC-klagomål.docx", "A 11983-2023")</f>
        <v/>
      </c>
      <c r="W344">
        <f>HYPERLINK("https://klasma.github.io/Logging_0680/klagomålsmail/A 11983-2023 FSC-klagomål mail.docx", "A 11983-2023")</f>
        <v/>
      </c>
      <c r="X344">
        <f>HYPERLINK("https://klasma.github.io/Logging_0680/tillsyn/A 11983-2023 tillsynsbegäran.docx", "A 11983-2023")</f>
        <v/>
      </c>
      <c r="Y344">
        <f>HYPERLINK("https://klasma.github.io/Logging_0680/tillsynsmail/A 11983-2023 tillsynsbegäran mail.docx", "A 11983-2023")</f>
        <v/>
      </c>
    </row>
    <row r="345" ht="15" customHeight="1">
      <c r="A345" t="inlineStr">
        <is>
          <t>A 12437-2023</t>
        </is>
      </c>
      <c r="B345" s="1" t="n">
        <v>44998</v>
      </c>
      <c r="C345" s="1" t="n">
        <v>45716</v>
      </c>
      <c r="D345" t="inlineStr">
        <is>
          <t>JÖNKÖPINGS LÄN</t>
        </is>
      </c>
      <c r="E345" t="inlineStr">
        <is>
          <t>TRANÅS</t>
        </is>
      </c>
      <c r="G345" t="n">
        <v>10.5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Skogsbräsma</t>
        </is>
      </c>
      <c r="S345">
        <f>HYPERLINK("https://klasma.github.io/Logging_0687/artfynd/A 12437-2023 artfynd.xlsx", "A 12437-2023")</f>
        <v/>
      </c>
      <c r="T345">
        <f>HYPERLINK("https://klasma.github.io/Logging_0687/kartor/A 12437-2023 karta.png", "A 12437-2023")</f>
        <v/>
      </c>
      <c r="V345">
        <f>HYPERLINK("https://klasma.github.io/Logging_0687/klagomål/A 12437-2023 FSC-klagomål.docx", "A 12437-2023")</f>
        <v/>
      </c>
      <c r="W345">
        <f>HYPERLINK("https://klasma.github.io/Logging_0687/klagomålsmail/A 12437-2023 FSC-klagomål mail.docx", "A 12437-2023")</f>
        <v/>
      </c>
      <c r="X345">
        <f>HYPERLINK("https://klasma.github.io/Logging_0687/tillsyn/A 12437-2023 tillsynsbegäran.docx", "A 12437-2023")</f>
        <v/>
      </c>
      <c r="Y345">
        <f>HYPERLINK("https://klasma.github.io/Logging_0687/tillsynsmail/A 12437-2023 tillsynsbegäran mail.docx", "A 12437-2023")</f>
        <v/>
      </c>
    </row>
    <row r="346" ht="15" customHeight="1">
      <c r="A346" t="inlineStr">
        <is>
          <t>A 12584-2023</t>
        </is>
      </c>
      <c r="B346" s="1" t="n">
        <v>45000</v>
      </c>
      <c r="C346" s="1" t="n">
        <v>45716</v>
      </c>
      <c r="D346" t="inlineStr">
        <is>
          <t>JÖNKÖPINGS LÄN</t>
        </is>
      </c>
      <c r="E346" t="inlineStr">
        <is>
          <t>JÖNKÖPING</t>
        </is>
      </c>
      <c r="G346" t="n">
        <v>5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12584-2023 artfynd.xlsx", "A 12584-2023")</f>
        <v/>
      </c>
      <c r="T346">
        <f>HYPERLINK("https://klasma.github.io/Logging_0680/kartor/A 12584-2023 karta.png", "A 12584-2023")</f>
        <v/>
      </c>
      <c r="V346">
        <f>HYPERLINK("https://klasma.github.io/Logging_0680/klagomål/A 12584-2023 FSC-klagomål.docx", "A 12584-2023")</f>
        <v/>
      </c>
      <c r="W346">
        <f>HYPERLINK("https://klasma.github.io/Logging_0680/klagomålsmail/A 12584-2023 FSC-klagomål mail.docx", "A 12584-2023")</f>
        <v/>
      </c>
      <c r="X346">
        <f>HYPERLINK("https://klasma.github.io/Logging_0680/tillsyn/A 12584-2023 tillsynsbegäran.docx", "A 12584-2023")</f>
        <v/>
      </c>
      <c r="Y346">
        <f>HYPERLINK("https://klasma.github.io/Logging_0680/tillsynsmail/A 12584-2023 tillsynsbegäran mail.docx", "A 12584-2023")</f>
        <v/>
      </c>
      <c r="Z346">
        <f>HYPERLINK("https://klasma.github.io/Logging_0680/fåglar/A 12584-2023 prioriterade fågelarter.docx", "A 12584-2023")</f>
        <v/>
      </c>
    </row>
    <row r="347" ht="15" customHeight="1">
      <c r="A347" t="inlineStr">
        <is>
          <t>A 13882-2023</t>
        </is>
      </c>
      <c r="B347" s="1" t="n">
        <v>45007</v>
      </c>
      <c r="C347" s="1" t="n">
        <v>45716</v>
      </c>
      <c r="D347" t="inlineStr">
        <is>
          <t>JÖNKÖPINGS LÄN</t>
        </is>
      </c>
      <c r="E347" t="inlineStr">
        <is>
          <t>MULLSJÖ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Västlig hakmossa</t>
        </is>
      </c>
      <c r="S347">
        <f>HYPERLINK("https://klasma.github.io/Logging_0642/artfynd/A 13882-2023 artfynd.xlsx", "A 13882-2023")</f>
        <v/>
      </c>
      <c r="T347">
        <f>HYPERLINK("https://klasma.github.io/Logging_0642/kartor/A 13882-2023 karta.png", "A 13882-2023")</f>
        <v/>
      </c>
      <c r="V347">
        <f>HYPERLINK("https://klasma.github.io/Logging_0642/klagomål/A 13882-2023 FSC-klagomål.docx", "A 13882-2023")</f>
        <v/>
      </c>
      <c r="W347">
        <f>HYPERLINK("https://klasma.github.io/Logging_0642/klagomålsmail/A 13882-2023 FSC-klagomål mail.docx", "A 13882-2023")</f>
        <v/>
      </c>
      <c r="X347">
        <f>HYPERLINK("https://klasma.github.io/Logging_0642/tillsyn/A 13882-2023 tillsynsbegäran.docx", "A 13882-2023")</f>
        <v/>
      </c>
      <c r="Y347">
        <f>HYPERLINK("https://klasma.github.io/Logging_0642/tillsynsmail/A 13882-2023 tillsynsbegäran mail.docx", "A 13882-2023")</f>
        <v/>
      </c>
    </row>
    <row r="348" ht="15" customHeight="1">
      <c r="A348" t="inlineStr">
        <is>
          <t>A 14083-2023</t>
        </is>
      </c>
      <c r="B348" s="1" t="n">
        <v>45009</v>
      </c>
      <c r="C348" s="1" t="n">
        <v>45716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Spindelört</t>
        </is>
      </c>
      <c r="S348">
        <f>HYPERLINK("https://klasma.github.io/Logging_0685/artfynd/A 14083-2023 artfynd.xlsx", "A 14083-2023")</f>
        <v/>
      </c>
      <c r="T348">
        <f>HYPERLINK("https://klasma.github.io/Logging_0685/kartor/A 14083-2023 karta.png", "A 14083-2023")</f>
        <v/>
      </c>
      <c r="V348">
        <f>HYPERLINK("https://klasma.github.io/Logging_0685/klagomål/A 14083-2023 FSC-klagomål.docx", "A 14083-2023")</f>
        <v/>
      </c>
      <c r="W348">
        <f>HYPERLINK("https://klasma.github.io/Logging_0685/klagomålsmail/A 14083-2023 FSC-klagomål mail.docx", "A 14083-2023")</f>
        <v/>
      </c>
      <c r="X348">
        <f>HYPERLINK("https://klasma.github.io/Logging_0685/tillsyn/A 14083-2023 tillsynsbegäran.docx", "A 14083-2023")</f>
        <v/>
      </c>
      <c r="Y348">
        <f>HYPERLINK("https://klasma.github.io/Logging_0685/tillsynsmail/A 14083-2023 tillsynsbegäran mail.docx", "A 14083-2023")</f>
        <v/>
      </c>
    </row>
    <row r="349" ht="15" customHeight="1">
      <c r="A349" t="inlineStr">
        <is>
          <t>A 14369-2023</t>
        </is>
      </c>
      <c r="B349" s="1" t="n">
        <v>45012</v>
      </c>
      <c r="C349" s="1" t="n">
        <v>45716</v>
      </c>
      <c r="D349" t="inlineStr">
        <is>
          <t>JÖNKÖPINGS LÄN</t>
        </is>
      </c>
      <c r="E349" t="inlineStr">
        <is>
          <t>JÖNKÖPING</t>
        </is>
      </c>
      <c r="G349" t="n">
        <v>8.9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Murgröna</t>
        </is>
      </c>
      <c r="S349">
        <f>HYPERLINK("https://klasma.github.io/Logging_0680/artfynd/A 14369-2023 artfynd.xlsx", "A 14369-2023")</f>
        <v/>
      </c>
      <c r="T349">
        <f>HYPERLINK("https://klasma.github.io/Logging_0680/kartor/A 14369-2023 karta.png", "A 14369-2023")</f>
        <v/>
      </c>
      <c r="V349">
        <f>HYPERLINK("https://klasma.github.io/Logging_0680/klagomål/A 14369-2023 FSC-klagomål.docx", "A 14369-2023")</f>
        <v/>
      </c>
      <c r="W349">
        <f>HYPERLINK("https://klasma.github.io/Logging_0680/klagomålsmail/A 14369-2023 FSC-klagomål mail.docx", "A 14369-2023")</f>
        <v/>
      </c>
      <c r="X349">
        <f>HYPERLINK("https://klasma.github.io/Logging_0680/tillsyn/A 14369-2023 tillsynsbegäran.docx", "A 14369-2023")</f>
        <v/>
      </c>
      <c r="Y349">
        <f>HYPERLINK("https://klasma.github.io/Logging_0680/tillsynsmail/A 14369-2023 tillsynsbegäran mail.docx", "A 14369-2023")</f>
        <v/>
      </c>
    </row>
    <row r="350" ht="15" customHeight="1">
      <c r="A350" t="inlineStr">
        <is>
          <t>A 15187-2023</t>
        </is>
      </c>
      <c r="B350" s="1" t="n">
        <v>45016</v>
      </c>
      <c r="C350" s="1" t="n">
        <v>45716</v>
      </c>
      <c r="D350" t="inlineStr">
        <is>
          <t>JÖNKÖPINGS LÄN</t>
        </is>
      </c>
      <c r="E350" t="inlineStr">
        <is>
          <t>MULLSJÖ</t>
        </is>
      </c>
      <c r="G350" t="n">
        <v>2.3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Slåtterfibbla</t>
        </is>
      </c>
      <c r="S350">
        <f>HYPERLINK("https://klasma.github.io/Logging_0642/artfynd/A 15187-2023 artfynd.xlsx", "A 15187-2023")</f>
        <v/>
      </c>
      <c r="T350">
        <f>HYPERLINK("https://klasma.github.io/Logging_0642/kartor/A 15187-2023 karta.png", "A 15187-2023")</f>
        <v/>
      </c>
      <c r="V350">
        <f>HYPERLINK("https://klasma.github.io/Logging_0642/klagomål/A 15187-2023 FSC-klagomål.docx", "A 15187-2023")</f>
        <v/>
      </c>
      <c r="W350">
        <f>HYPERLINK("https://klasma.github.io/Logging_0642/klagomålsmail/A 15187-2023 FSC-klagomål mail.docx", "A 15187-2023")</f>
        <v/>
      </c>
      <c r="X350">
        <f>HYPERLINK("https://klasma.github.io/Logging_0642/tillsyn/A 15187-2023 tillsynsbegäran.docx", "A 15187-2023")</f>
        <v/>
      </c>
      <c r="Y350">
        <f>HYPERLINK("https://klasma.github.io/Logging_0642/tillsynsmail/A 15187-2023 tillsynsbegäran mail.docx", "A 15187-2023")</f>
        <v/>
      </c>
    </row>
    <row r="351" ht="15" customHeight="1">
      <c r="A351" t="inlineStr">
        <is>
          <t>A 15659-2023</t>
        </is>
      </c>
      <c r="B351" s="1" t="n">
        <v>45021</v>
      </c>
      <c r="C351" s="1" t="n">
        <v>45716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Trollsmultron</t>
        </is>
      </c>
      <c r="S351">
        <f>HYPERLINK("https://klasma.github.io/Logging_0685/artfynd/A 15659-2023 artfynd.xlsx", "A 15659-2023")</f>
        <v/>
      </c>
      <c r="T351">
        <f>HYPERLINK("https://klasma.github.io/Logging_0685/kartor/A 15659-2023 karta.png", "A 15659-2023")</f>
        <v/>
      </c>
      <c r="V351">
        <f>HYPERLINK("https://klasma.github.io/Logging_0685/klagomål/A 15659-2023 FSC-klagomål.docx", "A 15659-2023")</f>
        <v/>
      </c>
      <c r="W351">
        <f>HYPERLINK("https://klasma.github.io/Logging_0685/klagomålsmail/A 15659-2023 FSC-klagomål mail.docx", "A 15659-2023")</f>
        <v/>
      </c>
      <c r="X351">
        <f>HYPERLINK("https://klasma.github.io/Logging_0685/tillsyn/A 15659-2023 tillsynsbegäran.docx", "A 15659-2023")</f>
        <v/>
      </c>
      <c r="Y351">
        <f>HYPERLINK("https://klasma.github.io/Logging_0685/tillsynsmail/A 15659-2023 tillsynsbegäran mail.docx", "A 15659-2023")</f>
        <v/>
      </c>
    </row>
    <row r="352" ht="15" customHeight="1">
      <c r="A352" t="inlineStr">
        <is>
          <t>A 16944-2023</t>
        </is>
      </c>
      <c r="B352" s="1" t="n">
        <v>45033</v>
      </c>
      <c r="C352" s="1" t="n">
        <v>45716</v>
      </c>
      <c r="D352" t="inlineStr">
        <is>
          <t>JÖNKÖPINGS LÄN</t>
        </is>
      </c>
      <c r="E352" t="inlineStr">
        <is>
          <t>ANEBY</t>
        </is>
      </c>
      <c r="G352" t="n">
        <v>9.1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Sotriska</t>
        </is>
      </c>
      <c r="S352">
        <f>HYPERLINK("https://klasma.github.io/Logging_0604/artfynd/A 16944-2023 artfynd.xlsx", "A 16944-2023")</f>
        <v/>
      </c>
      <c r="T352">
        <f>HYPERLINK("https://klasma.github.io/Logging_0604/kartor/A 16944-2023 karta.png", "A 16944-2023")</f>
        <v/>
      </c>
      <c r="V352">
        <f>HYPERLINK("https://klasma.github.io/Logging_0604/klagomål/A 16944-2023 FSC-klagomål.docx", "A 16944-2023")</f>
        <v/>
      </c>
      <c r="W352">
        <f>HYPERLINK("https://klasma.github.io/Logging_0604/klagomålsmail/A 16944-2023 FSC-klagomål mail.docx", "A 16944-2023")</f>
        <v/>
      </c>
      <c r="X352">
        <f>HYPERLINK("https://klasma.github.io/Logging_0604/tillsyn/A 16944-2023 tillsynsbegäran.docx", "A 16944-2023")</f>
        <v/>
      </c>
      <c r="Y352">
        <f>HYPERLINK("https://klasma.github.io/Logging_0604/tillsynsmail/A 16944-2023 tillsynsbegäran mail.docx", "A 16944-2023")</f>
        <v/>
      </c>
    </row>
    <row r="353" ht="15" customHeight="1">
      <c r="A353" t="inlineStr">
        <is>
          <t>A 18880-2023</t>
        </is>
      </c>
      <c r="B353" s="1" t="n">
        <v>45044</v>
      </c>
      <c r="C353" s="1" t="n">
        <v>45716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0.7</v>
      </c>
      <c r="H353" t="n">
        <v>1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Spindelblomster</t>
        </is>
      </c>
      <c r="S353">
        <f>HYPERLINK("https://klasma.github.io/Logging_0682/artfynd/A 18880-2023 artfynd.xlsx", "A 18880-2023")</f>
        <v/>
      </c>
      <c r="T353">
        <f>HYPERLINK("https://klasma.github.io/Logging_0682/kartor/A 18880-2023 karta.png", "A 18880-2023")</f>
        <v/>
      </c>
      <c r="V353">
        <f>HYPERLINK("https://klasma.github.io/Logging_0682/klagomål/A 18880-2023 FSC-klagomål.docx", "A 18880-2023")</f>
        <v/>
      </c>
      <c r="W353">
        <f>HYPERLINK("https://klasma.github.io/Logging_0682/klagomålsmail/A 18880-2023 FSC-klagomål mail.docx", "A 18880-2023")</f>
        <v/>
      </c>
      <c r="X353">
        <f>HYPERLINK("https://klasma.github.io/Logging_0682/tillsyn/A 18880-2023 tillsynsbegäran.docx", "A 18880-2023")</f>
        <v/>
      </c>
      <c r="Y353">
        <f>HYPERLINK("https://klasma.github.io/Logging_0682/tillsynsmail/A 18880-2023 tillsynsbegäran mail.docx", "A 18880-2023")</f>
        <v/>
      </c>
    </row>
    <row r="354" ht="15" customHeight="1">
      <c r="A354" t="inlineStr">
        <is>
          <t>A 22367-2023</t>
        </is>
      </c>
      <c r="B354" s="1" t="n">
        <v>45070</v>
      </c>
      <c r="C354" s="1" t="n">
        <v>45716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1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Skogsalm</t>
        </is>
      </c>
      <c r="S354">
        <f>HYPERLINK("https://klasma.github.io/Logging_0662/artfynd/A 22367-2023 artfynd.xlsx", "A 22367-2023")</f>
        <v/>
      </c>
      <c r="T354">
        <f>HYPERLINK("https://klasma.github.io/Logging_0662/kartor/A 22367-2023 karta.png", "A 22367-2023")</f>
        <v/>
      </c>
      <c r="V354">
        <f>HYPERLINK("https://klasma.github.io/Logging_0662/klagomål/A 22367-2023 FSC-klagomål.docx", "A 22367-2023")</f>
        <v/>
      </c>
      <c r="W354">
        <f>HYPERLINK("https://klasma.github.io/Logging_0662/klagomålsmail/A 22367-2023 FSC-klagomål mail.docx", "A 22367-2023")</f>
        <v/>
      </c>
      <c r="X354">
        <f>HYPERLINK("https://klasma.github.io/Logging_0662/tillsyn/A 22367-2023 tillsynsbegäran.docx", "A 22367-2023")</f>
        <v/>
      </c>
      <c r="Y354">
        <f>HYPERLINK("https://klasma.github.io/Logging_0662/tillsynsmail/A 22367-2023 tillsynsbegäran mail.docx", "A 22367-2023")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45716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45716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45716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45716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45716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45716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45716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45716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45716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45716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45716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45716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45716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45716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45716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45716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45716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45716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45716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45716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45716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45716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45716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45716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45716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45716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45716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45716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45716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45716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45716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45716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45716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45716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45716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45716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45716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45716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45716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45716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45716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45716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45716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45716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45716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45716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45716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45716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45716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45716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45716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45716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45716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45716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45716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45716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45716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45716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45716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45716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45716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45716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45716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45716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45716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45716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45716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45716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45716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45716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45716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45716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45716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45716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45716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45716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45716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45716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45716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45716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45716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45716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45716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45716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45716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45716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45716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45716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45716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45716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45716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45716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45716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45716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45716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45716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45716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45716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45716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45716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45716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45716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45716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45716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45716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45716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45716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45716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45716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45716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45716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45716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45716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45716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45716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45716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45716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45716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45716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45716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45716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45716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45716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45716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45716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45716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45716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45716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45716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45716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45716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45716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45716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45716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45716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45716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45716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45716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45716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45716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45716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45716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45716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45716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45716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45716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45716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45716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45716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45716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45716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45716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45716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45716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45716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45716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45716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45716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45716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45716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45716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45716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45716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45716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45716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45716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45716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45716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45716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45716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45716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45716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45716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45716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45716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45716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45716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45716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45716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45716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45716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45716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45716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45716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45716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45716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45716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45716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45716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45716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45716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45716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45716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45716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45716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45716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45716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45716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45716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45716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45716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45716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45716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45716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45716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45716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45716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45716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45716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45716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45716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45716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45716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45716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45716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45716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45716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45716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45716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45716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45716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45716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45716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45716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45716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45716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45716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45716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45716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45716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45716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45716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45716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45716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45716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45716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45716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45716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45716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45716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45716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45716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45716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45716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45716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45716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45716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45716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45716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45716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45716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45716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45716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45716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45716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45716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45716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45716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45716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45716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45716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45716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45716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45716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45716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45716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45716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45716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45716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45716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45716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45716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45716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45716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45716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45716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45716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45716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45716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45716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45716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45716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45716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45716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45716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45716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45716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45716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45716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45716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45716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45716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45716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45716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45716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45716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45716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45716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45716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45716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45716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45716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45716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45716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45716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45716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45716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45716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45716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45716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45716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45716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45716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45716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45716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45716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45716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45716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45716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45716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45716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45716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45716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45716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45716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45716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45716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45716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45716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45716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45716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45716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45716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45716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45716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45716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45716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45716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45716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45716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45716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45716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45716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45716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45716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45716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45716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45716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45716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45716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45716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45716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45716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45716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45716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45716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45716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45716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45716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45716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45716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45716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45716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45716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45716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45716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45716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45716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45716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45716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45716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45716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45716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45716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45716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45716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45716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45716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45716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45716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45716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45716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45716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45716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45716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45716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45716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45716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45716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45716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45716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45716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45716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45716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45716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45716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45716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45716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45716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45716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45716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45716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45716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45716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45716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45716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45716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45716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45716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45716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45716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45716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45716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45716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45716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45716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45716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45716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45716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45716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45716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45716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45716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45716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45716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45716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45716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45716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45716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45716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45716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45716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45716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45716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45716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45716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45716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45716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45716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45716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45716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45716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45716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45716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45716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45716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45716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45716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45716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45716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45716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45716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45716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45716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45716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45716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45716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45716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45716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45716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45716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45716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45716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45716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45716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45716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45716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45716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45716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45716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45716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45716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45716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45716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45716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45716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45716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45716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45716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45716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45716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45716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45716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45716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45716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45716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45716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45716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45716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45716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45716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45716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45716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45716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45716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45716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45716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45716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45716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45716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45716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45716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45716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45716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45716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45716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45716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45716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45716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45716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45716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45716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45716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45716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45716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45716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45716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45716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45716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45716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45716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45716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45716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45716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45716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45716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45716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45716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45716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45716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45716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45716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45716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45716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45716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45716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45716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45716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45716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45716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45716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45716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45716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45716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45716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45716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45716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45716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45716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45716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45716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45716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45716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45716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45716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45716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45716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45716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45716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45716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45716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45716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45716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45716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45716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45716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45716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45716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45716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45716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45716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45716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45716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45716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45716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45716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45716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45716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45716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45716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45716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45716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45716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45716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45716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45716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45716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45716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45716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45716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45716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45716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45716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45716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45716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45716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45716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45716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45716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45716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45716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45716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45716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45716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45716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45716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45716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45716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45716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45716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45716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45716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45716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45716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45716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45716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45716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45716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45716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45716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45716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45716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45716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45716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45716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45716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45716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45716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45716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45716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45716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45716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45716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45716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45716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45716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45716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45716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45716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45716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45716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45716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45716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45716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45716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45716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45716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45716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45716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45716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45716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45716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45716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45716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45716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45716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45716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45716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45716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45716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45716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45716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45716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45716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45716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45716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45716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45716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45716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45716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45716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45716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45716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45716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45716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45716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45716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45716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45716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45716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45716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45716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45716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45716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45716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45716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45716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45716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45716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45716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45716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45716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45716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45716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45716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45716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45716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45716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45716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45716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45716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45716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45716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45716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45716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45716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45716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45716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45716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45716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45716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45716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45716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45716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45716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45716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45716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45716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45716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45716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45716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45716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45716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45716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45716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45716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45716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45716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45716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45716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45716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45716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45716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45716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45716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45716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45716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45716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45716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45716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45716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45716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45716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45716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45716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45716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45716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45716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45716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45716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45716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45716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45716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45716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45716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45716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45716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45716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45716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45716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45716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45716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45716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45716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45716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45716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45716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45716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45716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45716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45716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45716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45716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45716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45716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45716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45716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45716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45716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45716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45716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45716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45716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45716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45716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45716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45716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45716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45716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45716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45716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45716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45716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45716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45716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45716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45716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45716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45716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45716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45716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45716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45716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45716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45716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45716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45716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45716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45716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45716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45716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45716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45716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45716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45716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45716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45716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45716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45716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45716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45716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45716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45716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45716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45716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45716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45716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45716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45716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45716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45716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45716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45716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45716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45716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45716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45716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45716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45716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45716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45716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45716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45716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45716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45716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45716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45716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45716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45716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45716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45716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45716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45716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45716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45716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45716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45716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45716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45716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45716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45716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45716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45716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45716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45716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45716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45716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45716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45716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45716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45716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45716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45716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45716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45716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45716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45716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45716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45716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45716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45716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45716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45716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45716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45716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45716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45716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45716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45716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45716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45716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45716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45716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45716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45716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45716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45716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45716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45716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45716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45716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45716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45716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45716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45716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45716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45716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45716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45716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45716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45716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45716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45716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45716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45716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45716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45716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45716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45716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45716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45716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45716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45716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45716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45716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45716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45716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45716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45716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45716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45716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45716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45716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45716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45716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45716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45716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45716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45716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45716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45716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45716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45716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45716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45716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45716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45716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45716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45716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45716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45716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45716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45716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45716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45716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45716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45716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45716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45716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45716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45716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45716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45716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45716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45716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45716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45716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45716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45716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45716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45716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45716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45716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45716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45716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45716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45716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45716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45716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45716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45716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45716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45716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45716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45716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45716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45716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45716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45716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45716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45716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45716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45716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45716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45716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45716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45716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45716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45716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45716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45716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45716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45716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45716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45716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45716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45716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45716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45716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45716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45716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45716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45716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45716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45716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45716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45716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45716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45716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45716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45716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45716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45716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45716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45716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45716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45716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45716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45716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45716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45716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45716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45716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45716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45716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45716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45716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45716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45716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45716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45716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45716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45716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45716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45716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45716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45716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45716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45716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45716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45716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45716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45716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45716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45716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45716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45716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45716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45716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45716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45716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45716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45716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45716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45716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45716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45716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45716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45716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45716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45716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45716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45716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45716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45716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45716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45716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45716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45716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45716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45716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45716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45716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45716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45716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45716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45716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45716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45716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45716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45716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45716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45716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45716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45716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45716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45716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45716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45716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45716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45716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45716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45716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45716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45716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45716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45716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45716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45716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45716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45716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45716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45716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45716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45716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45716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45716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45716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45716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45716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45716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45716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45716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45716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45716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45716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45716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45716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45716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45716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45716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45716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45716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45716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45716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45716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45716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45716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45716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45716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45716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45716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45716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45716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45716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45716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45716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45716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45716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45716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45716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45716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45716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45716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45716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45716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45716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45716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45716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45716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45716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45716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45716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45716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45716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45716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45716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45716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45716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45716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45716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45716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45716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45716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45716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45716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45716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45716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45716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45716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45716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45716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45716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45716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45716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45716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45716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45716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45716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45716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45716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45716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45716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45716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45716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45716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45716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45716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45716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45716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45716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45716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45716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45716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45716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45716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45716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45716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45716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45716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45716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45716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45716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45716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45716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45716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45716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45716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45716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45716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45716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45716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45716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45716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45716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45716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45716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45716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45716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45716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45716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45716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45716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45716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45716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45716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45716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45716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45716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45716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45716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45716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45716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45716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45716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45716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45716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45716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45716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45716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45716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45716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45716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45716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45716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45716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45716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45716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45716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45716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45716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45716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45716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45716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45716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45716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45716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45716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45716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45716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45716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45716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45716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45716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45716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45716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45716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45716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45716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45716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45716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45716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45716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45716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45716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45716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45716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45716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45716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45716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45716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45716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45716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45716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45716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45716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45716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45716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45716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45716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45716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45716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45716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45716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45716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45716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45716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45716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45716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45716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45716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45716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45716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45716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45716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45716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45716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45716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45716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45716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45716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45716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45716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45716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45716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45716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45716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45716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45716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45716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45716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45716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45716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45716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45716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45716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45716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45716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45716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45716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45716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45716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45716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45716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45716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45716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45716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45716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45716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45716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45716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45716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45716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45716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45716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45716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45716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45716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45716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45716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45716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45716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45716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45716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45716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45716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45716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45716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45716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45716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45716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45716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45716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45716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45716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45716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45716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45716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45716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45716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45716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45716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45716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45716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45716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45716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45716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45716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45716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45716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45716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45716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45716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45716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45716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45716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45716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45716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45716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45716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45716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45716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45716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45716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45716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45716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45716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45716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45716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45716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45716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45716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45716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45716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45716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45716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45716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45716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45716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45716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45716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45716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45716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45716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45716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45716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45716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45716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45716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45716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45716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45716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45716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45716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45716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45716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45716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45716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45716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45716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45716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45716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45716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45716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45716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45716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45716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45716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45716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45716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45716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45716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45716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45716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45716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45716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45716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45716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45716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45716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45716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45716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45716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45716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45716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45716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45716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45716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45716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45716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45716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45716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45716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45716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45716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45716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45716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45716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45716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45716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45716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45716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45716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45716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45716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45716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45716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45716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45716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45716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45716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45716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45716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45716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45716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45716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45716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45716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45716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45716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45716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45716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45716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45716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45716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45716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45716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45716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45716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45716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45716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45716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45716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45716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45716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45716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45716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45716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45716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45716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45716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45716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45716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45716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45716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45716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45716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45716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45716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45716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45716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45716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45716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45716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45716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45716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45716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45716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45716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45716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45716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45716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45716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45716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45716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45716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45716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45716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45716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45716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45716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45716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45716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45716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45716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45716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45716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45716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45716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45716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45716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45716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45716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45716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45716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45716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45716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45716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45716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45716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45716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45716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45716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45716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45716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45716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45716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45716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45716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45716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45716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45716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45716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45716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45716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45716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45716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45716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45716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45716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45716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45716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45716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45716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45716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45716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45716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45716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45716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45716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45716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45716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45716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45716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45716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45716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45716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45716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45716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45716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45716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45716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45716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45716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45716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45716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45716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45716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45716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45716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45716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45716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45716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45716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45716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45716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45716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45716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45716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45716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45716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45716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45716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45716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45716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45716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45716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45716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45716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45716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45716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45716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45716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45716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45716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45716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45716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45716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45716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45716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45716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45716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45716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45716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45716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45716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45716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45716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45716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45716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45716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45716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45716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45716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45716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45716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45716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45716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45716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45716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45716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45716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45716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45716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45716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45716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45716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45716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45716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45716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45716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45716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45716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45716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45716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45716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45716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45716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45716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45716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45716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45716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45716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45716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45716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45716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45716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45716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45716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45716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45716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45716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45716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45716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45716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45716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45716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45716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45716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45716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45716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45716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45716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45716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45716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45716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45716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45716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45716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45716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45716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45716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45716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45716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45716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45716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45716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45716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45716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45716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45716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45716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45716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45716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45716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45716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45716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45716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45716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45716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45716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45716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45716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45716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45716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45716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45716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45716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45716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45716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45716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45716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45716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45716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45716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45716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45716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45716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45716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45716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45716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45716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45716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45716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45716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45716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45716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45716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45716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45716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45716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45716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45716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45716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45716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45716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45716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45716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45716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45716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45716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45716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45716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45716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45716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45716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45716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45716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45716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45716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45716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45716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45716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45716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45716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45716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45716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45716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45716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45716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45716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45716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45716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45716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45716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45716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45716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45716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45716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45716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45716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45716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45716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45716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45716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45716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45716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45716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45716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45716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45716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45716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45716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45716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45716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45716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45716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45716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45716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45716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45716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45716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45716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45716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45716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45716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45716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45716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45716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45716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45716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45716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45716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45716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45716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45716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45716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45716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45716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45716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45716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45716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45716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45716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45716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45716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45716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45716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45716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45716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45716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45716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45716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45716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45716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45716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45716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45716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45716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45716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45716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45716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45716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45716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45716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45716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45716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45716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45716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45716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45716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45716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45716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45716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45716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45716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45716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45716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45716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45716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45716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45716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45716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45716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45716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45716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45716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45716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45716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45716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45716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45716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45716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45716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45716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45716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45716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45716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45716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45716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45716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45716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45716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45716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45716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45716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45716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45716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45716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45716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45716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45716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45716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45716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45716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45716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45716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45716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45716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45716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45716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45716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45716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45716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45716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45716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45716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45716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45716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45716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45716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45716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45716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45716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45716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45716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45716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45716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45716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45716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45716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45716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45716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45716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45716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45716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45716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45716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45716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45716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45716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45716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45716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45716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45716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45716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45716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45716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45716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45716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45716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45716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45716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45716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45716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45716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45716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45716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45716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45716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45716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45716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45716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45716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45716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45716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45716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45716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45716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45716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45716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45716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45716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45716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45716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45716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45716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45716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45716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45716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45716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45716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45716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45716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45716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45716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45716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45716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45716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45716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45716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45716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45716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45716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45716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45716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45716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45716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45716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45716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45716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45716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45716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45716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45716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45716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45716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45716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45716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45716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45716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45716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45716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45716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45716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45716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45716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45716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45716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45716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45716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45716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45716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45716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45716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45716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45716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45716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45716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45716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45716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45716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45716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45716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45716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45716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45716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45716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45716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45716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45716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45716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45716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45716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45716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45716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45716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45716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45716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45716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45716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45716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45716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45716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45716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45716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45716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45716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45716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45716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45716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45716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45716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45716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45716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45716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45716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45716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45716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45716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45716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45716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45716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45716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45716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45716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45716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45716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45716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45716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45716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45716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45716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45716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45716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45716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45716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45716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45716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45716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45716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45716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45716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45716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45716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45716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45716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45716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45716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45716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45716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45716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45716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45716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45716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45716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45716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45716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45716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45716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45716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45716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45716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45716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45716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45716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45716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45716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45716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45716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45716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45716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45716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45716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45716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45716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45716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45716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45716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45716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45716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45716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45716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45716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45716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45716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45716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45716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45716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45716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45716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45716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45716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45716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45716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45716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45716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45716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45716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45716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45716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45716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45716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45716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45716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45716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45716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45716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45716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45716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45716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45716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45716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45716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45716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45716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45716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45716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45716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45716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45716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45716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45716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45716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45716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45716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45716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45716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45716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45716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45716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45716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45716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45716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45716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45716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45716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45716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45716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45716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45716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45716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45716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45716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45716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45716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45716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45716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45716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45716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45716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45716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45716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45716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45716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45716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45716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45716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45716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45716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45716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45716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45716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45716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45716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45716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45716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45716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45716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45716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45716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45716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45716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45716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45716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45716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45716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45716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45716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45716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45716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45716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45716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45716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45716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45716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45716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45716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45716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45716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45716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45716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45716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45716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45716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45716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45716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45716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45716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45716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45716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45716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45716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45716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45716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45716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45716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45716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45716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45716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45716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45716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45716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45716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45716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45716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45716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45716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45716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45716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45716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45716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45716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45716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45716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45716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45716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45716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45716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45716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45716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45716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45716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45716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45716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45716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45716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45716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45716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45716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45716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45716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45716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45716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45716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45716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45716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45716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45716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45716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45716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45716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45716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45716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45716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45716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45716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45716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45716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45716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45716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45716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45716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45716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45716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45716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45716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45716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45716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45716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45716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45716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45716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45716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45716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45716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45716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45716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45716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45716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45716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45716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45716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45716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45716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45716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45716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45716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45716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45716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45716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45716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45716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45716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45716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45716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45716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45716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45716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45716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45716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45716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45716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45716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45716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45716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45716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45716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45716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45716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45716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45716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45716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45716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45716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45716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45716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45716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45716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45716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45716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45716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45716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45716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45716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45716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45716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45716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45716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45716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45716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45716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45716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45716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45716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45716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45716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45716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45716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45716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45716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45716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45716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45716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45716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45716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45716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45716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45716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45716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45716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45716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45716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45716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45716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45716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45716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45716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45716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45716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45716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45716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45716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45716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45716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45716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45716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45716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45716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45716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45716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45716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45716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45716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45716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45716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45716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45716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45716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45716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45716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45716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45716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45716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45716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45716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45716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45716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45716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45716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45716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45716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45716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45716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45716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45716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45716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45716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45716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45716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45716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45716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45716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45716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45716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45716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45716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45716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45716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45716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45716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45716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45716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45716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45716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45716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45716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45716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45716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45716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45716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45716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45716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45716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45716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45716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45716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45716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45716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45716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45716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45716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45716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45716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45716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45716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45716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45716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45716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45716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45716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45716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45716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45716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45716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45716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45716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45716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45716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45716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45716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45716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45716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45716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45716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45716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45716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45716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45716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45716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45716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45716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45716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45716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45716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45716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45716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45716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45716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45716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45716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45716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45716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45716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45716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45716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45716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45716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45716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45716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45716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45716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45716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45716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45716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45716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45716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45716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45716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45716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45716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45716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45716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45716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45716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45716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45716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45716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45716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45716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45716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45716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45716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45716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45716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45716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45716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45716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45716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45716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45716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45716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45716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45716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45716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45716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45716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45716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45716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45716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45716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45716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45716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45716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45716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45716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45716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45716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45716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45716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45716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45716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45716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45716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45716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45716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45716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45716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45716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45716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45716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45716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45716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45716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45716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45716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45716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45716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45716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45716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45716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45716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45716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45716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45716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45716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45716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45716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45716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45716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45716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45716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45716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45716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45716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45716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45716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45716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45716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45716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45716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45716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45716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45716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45716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45716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45716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45716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45716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45716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45716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45716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45716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45716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45716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45716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45716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45716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45716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45716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45716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45716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45716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45716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45716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45716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45716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45716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45716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45716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45716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45716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45716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45716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45716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45716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45716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45716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45716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45716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45716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45716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45716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45716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45716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45716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45716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45716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45716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45716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45716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45716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45716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45716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45716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45716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45716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45716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45716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45716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45716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45716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45716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45716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45716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45716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45716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45716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45716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45716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45716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45716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45716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45716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45716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45716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45716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45716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45716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45716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45716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45716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45716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45716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45716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45716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45716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45716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45716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45716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45716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45716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45716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45716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45716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45716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45716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45716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45716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45716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45716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45716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45716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45716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45716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45716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45716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45716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45716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45716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45716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45716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45716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45716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45716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45716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45716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45716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45716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45716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45716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45716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45716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45716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45716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45716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45716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45716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45716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45716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45716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45716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45716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45716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45716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45716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45716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45716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45716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45716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45716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45716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45716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45716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45716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45716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45716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45716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45716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45716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45716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45716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45716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45716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45716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45716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45716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45716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45716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45716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45716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45716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45716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45716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45716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45716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45716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45716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45716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45716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45716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45716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45716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45716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45716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45716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45716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45716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45716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45716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45716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45716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45716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45716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45716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45716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45716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45716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45716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45716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45716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45716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45716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45716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45716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45716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45716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45716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45716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45716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45716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45716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45716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45716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45716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45716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45716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45716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45716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45716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45716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45716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45716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45716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45716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45716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45716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45716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45716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45716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45716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45716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45716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45716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45716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45716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45716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45716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45716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45716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45716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45716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45716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45716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45716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45716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45716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45716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45716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45716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45716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45716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45716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45716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45716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45716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45716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45716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45716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45716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45716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45716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45716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45716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45716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45716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45716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45716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45716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45716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45716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45716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45716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45716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45716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45716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45716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45716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45716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45716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45716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45716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45716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45716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45716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45716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45716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45716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45716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45716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45716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45716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45716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45716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45716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45716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45716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45716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45716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45716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45716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45716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45716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45716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45716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45716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45716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45716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45716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45716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45716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45716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45716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45716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45716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45716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45716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45716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45716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45716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45716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45716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45716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45716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45716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45716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45716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45716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45716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45716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45716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45716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45716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45716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45716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45716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45716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45716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45716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45716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45716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45716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45716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45716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45716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45716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45716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45716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45716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45716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45716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45716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45716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45716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45716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45716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45716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45716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45716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45716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45716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45716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45716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45716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45716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45716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45716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45716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45716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45716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45716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45716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45716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45716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45716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45716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45716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45716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45716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45716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45716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45716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45716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45716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45716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45716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45716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45716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45716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45716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45716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45716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45716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45716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45716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45716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45716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45716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45716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45716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45716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45716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45716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45716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45716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45716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45716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45716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45716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45716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45716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45716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45716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45716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45716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45716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45716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45716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45716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45716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45716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45716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45716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45716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45716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45716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45716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45716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45716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45716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45716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45716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45716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45716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45716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45716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45716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45716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45716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45716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45716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45716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45716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45716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45716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45716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45716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45716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45716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45716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45716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45716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45716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45716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45716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45716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45716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45716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45716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45716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45716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45716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45716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45716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45716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45716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45716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45716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45716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45716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45716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45716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45716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45716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45716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45716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45716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45716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45716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45716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45716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45716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45716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45716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45716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45716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45716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45716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45716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45716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45716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45716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45716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45716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45716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45716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45716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45716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45716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45716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45716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45716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45716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45716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45716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45716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45716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45716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45716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45716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45716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45716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45716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45716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45716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45716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45716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45716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45716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45716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45716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45716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45716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45716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45716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45716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45716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45716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45716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45716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45716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45716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45716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45716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45716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45716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45716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45716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45716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45716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45716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45716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45716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45716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45716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45716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45716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45716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45716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45716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45716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45716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45716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45716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45716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45716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45716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45716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45716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45716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45716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45716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45716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45716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45716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45716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45716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45716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45716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45716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45716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45716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45716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45716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45716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45716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45716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45716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45716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45716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45716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45716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45716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45716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45716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45716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45716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45716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45716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45716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45716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45716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45716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45716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45716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45716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45716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45716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45716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45716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45716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45716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45716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45716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45716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45716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45716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45716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45716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45716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45716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45716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45716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45716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45716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45716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45716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45716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45716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45716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45716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45716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45716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45716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45716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45716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45716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45716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45716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45716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45716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45716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45716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45716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45716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45716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45716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45716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45716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45716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45716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45716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45716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45716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45716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45716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45716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45716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45716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45716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45716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45716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45716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45716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45716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45716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45716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45716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45716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45716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45716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45716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45716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45716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45716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45716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45716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45716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45716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45716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45716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45716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45716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45716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45716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45716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45716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45716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45716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45716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45716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45716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45716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45716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45716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45716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45716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45716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45716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45716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45716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45716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45716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45716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45716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45716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45716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45716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45716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45716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45716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45716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45716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45716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45716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45716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45716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45716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45716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45716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45716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45716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45716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45716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45716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45716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45716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45716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45716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45716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45716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45716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45716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45716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45716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45716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45716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45716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45716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45716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45716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45716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45716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45716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45716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45716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45716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45716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45716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45716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45716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45716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45716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45716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45716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45716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45716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45716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45716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45716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45716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45716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45716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45716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45716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45716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45716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45716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45716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45716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45716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45716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45716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45716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45716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45716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45716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45716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45716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45716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45716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45716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45716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45716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45716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45716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45716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45716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45716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45716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45716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45716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45716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45716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45716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45716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45716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45716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45716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45716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45716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45716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45716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45716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45716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45716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45716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45716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45716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45716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45716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45716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45716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45716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45716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45716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45716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45716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45716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45716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45716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45716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45716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45716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45716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45716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45716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45716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45716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45716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45716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45716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45716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45716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45716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45716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45716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45716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45716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45716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45716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45716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45716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45716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45716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45716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45716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45716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45716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45716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45716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45716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45716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45716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45716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45716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45716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45716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45716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45716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45716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45716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45716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45716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45716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45716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45716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45716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45716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45716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45716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45716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45716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45716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45716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45716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45716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45716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45716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45716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45716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45716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45716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45716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45716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45716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45716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45716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45716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45716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45716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45716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45716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45716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45716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45716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45716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45716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45716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45716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45716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45716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45716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45716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45716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45716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45716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45716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45716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45716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45716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45716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45716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45716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45716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45716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45716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45716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45716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45716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45716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45716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45716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45716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45716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45716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45716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45716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45716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45716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45716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45716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45716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45716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45716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45716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45716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45716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45716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45716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45716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45716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45716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45716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45716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45716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45716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45716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45716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45716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45716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45716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45716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45716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45716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45716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45716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45716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45716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45716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45716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45716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45716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45716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45716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45716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45716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45716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45716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45716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45716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45716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45716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45716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45716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45716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45716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45716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45716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45716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45716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45716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45716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45716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45716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45716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45716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45716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45716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45716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45716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45716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45716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45716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45716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45716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45716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45716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45716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45716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45716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45716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45716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45716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45716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45716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45716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45716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45716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45716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45716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45716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45716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45716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45716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45716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45716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45716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45716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45716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45716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45716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45716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45716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45716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45716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45716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45716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45716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45716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45716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45716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45716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45716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45716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45716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45716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45716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45716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45716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45716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45716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45716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45716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45716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45716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45716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45716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45716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45716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45716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45716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45716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45716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45716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45716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45716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45716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45716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45716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45716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45716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45716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45716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45716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45716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45716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45716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45716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45716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45716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45716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45716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45716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45716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45716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45716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45716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45716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45716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45716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45716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45716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45716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45716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45716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45716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45716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45716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45716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45716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45716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45716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45716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45716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45716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45716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45716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45716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45716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45716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45716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45716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45716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45716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45716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45716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45716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45716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45716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45716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45716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45716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45716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45716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45716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45716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45716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45716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45716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45716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45716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45716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45716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45716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45716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45716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45716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45716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45716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45716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45716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45716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45716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45716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45716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45716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45716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45716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45716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45716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45716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45716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45716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45716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45716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45716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45716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45716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45716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45716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45716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45716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45716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45716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45716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45716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45716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45716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45716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45716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45716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45716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45716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45716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45716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45716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45716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45716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45716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45716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45716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45716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45716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45716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45716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45716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45716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45716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45716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45716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45716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45716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45716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45716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45716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45716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45716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45716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45716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45716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45716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45716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45716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45716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45716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45716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45716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45716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45716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45716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45716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45716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45716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45716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45716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45716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45716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45716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45716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45716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45716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45716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45716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45716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45716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45716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45716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45716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45716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45716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45716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45716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45716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45716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45716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45716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45716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45716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45716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45716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45716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45716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45716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45716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45716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45716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45716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45716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45716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45716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45716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45716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45716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45716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45716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45716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45716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45716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45716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45716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45716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45716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45716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45716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45716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45716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45716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45716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45716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45716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45716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45716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45716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45716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45716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45716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45716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45716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45716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45716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45716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45716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45716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45716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45716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45716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45716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45716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45716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45716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45716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45716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45716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45716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45716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45716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45716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45716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45716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45716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45716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45716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45716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45716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45716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45716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45716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45716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45716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45716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45716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45716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45716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45716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45716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45716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45716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45716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45716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45716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45716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45716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45716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45716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45716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45716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45716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45716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45716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45716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45716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45716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45716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45716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45716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45716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45716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45716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45716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45716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45716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45716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45716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45716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45716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45716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45716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45716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45716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45716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45716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45716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45716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45716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45716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45716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45716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45716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45716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45716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45716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45716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45716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45716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45716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45716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45716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45716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45716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45716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45716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45716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45716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45716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45716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45716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45716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45716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45716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45716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45716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45716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45716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45716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45716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45716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45716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45716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45716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45716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45716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45716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45716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45716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45716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45716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45716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45716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45716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45716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45716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45716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45716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45716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45716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45716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45716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45716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45716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45716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45716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45716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45716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45716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45716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45716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45716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45716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45716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45716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45716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45716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45716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45716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45716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45716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45716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45716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45716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45716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45716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45716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45716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45716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45716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45716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45716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45716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45716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45716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45716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45716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45716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45716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45716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45716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45716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45716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45716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45716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45716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45716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45716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45716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45716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45716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45716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45716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45716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45716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45716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45716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45716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45716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45716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45716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45716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45716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45716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45716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45716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45716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45716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45716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45716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45716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45716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45716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45716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45716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45716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45716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45716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45716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45716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45716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45716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45716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45716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45716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45716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45716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45716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45716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45716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45716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45716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45716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45716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45716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45716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45716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45716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45716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45716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45716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45716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45716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45716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45716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45716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45716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45716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45716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45716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45716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45716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45716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45716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45716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45716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45716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45716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45716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45716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45716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45716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45716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45716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45716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45716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45716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45716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45716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45716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45716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45716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45716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45716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45716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45716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45716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45716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45716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45716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45716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45716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45716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45716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45716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45716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45716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45716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45716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45716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45716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45716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45716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45716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45716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45716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45716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45716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45716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45716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45716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45716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45716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45716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45716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45716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45716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45716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45716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45716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45716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45716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45716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45716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45716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45716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45716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45716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45716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45716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45716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45716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45716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45716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45716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45716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45716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45716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45716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45716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45716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45716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45716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45716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45716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45716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45716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45716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45716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45716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45716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45716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45716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45716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45716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45716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45716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45716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45716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45716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45716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45716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45716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45716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45716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45716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45716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45716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45716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45716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45716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45716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45716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45716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45716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45716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45716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45716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45716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45716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45716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45716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45716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45716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45716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45716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45716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45716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45716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45716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45716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45716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45716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45716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45716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45716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45716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45716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45716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45716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45716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45716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45716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45716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45716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45716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45716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45716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45716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45716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45716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45716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45716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45716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45716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45716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45716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45716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45716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45716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45716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45716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45716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45716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45716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45716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45716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45716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45716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45716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45716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45716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45716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45716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45716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45716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45716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45716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45716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45716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45716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45716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45716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45716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45716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45716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45716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45716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45716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45716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45716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45716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45716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45716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45716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45716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45716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45716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45716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45716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45716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45716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45716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45716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45716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45716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45716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45716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45716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45716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45716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45716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45716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45716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45716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45716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45716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45716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45716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45716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45716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45716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45716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45716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45716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45716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45716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45716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45716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45716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45716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45716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45716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45716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45716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45716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45716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45716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45716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45716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45716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45716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45716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45716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45716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45716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45716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45716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45716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45716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45716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45716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45716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45716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45716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45716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45716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45716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45716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45716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45716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45716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45716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45716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45716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45716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45716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45716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45716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45716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45716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45716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45716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45716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45716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45716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45716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45716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45716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45716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45716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45716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45716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45716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45716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45716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45716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45716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45716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45716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45716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45716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45716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45716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45716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45716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45716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45716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45716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45716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45716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45716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45716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45716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45716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45716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45716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45716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45716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45716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45716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45716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45716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45716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45716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45716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45716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45716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45716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45716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45716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45716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45716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45716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45716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45716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45716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45716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45716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45716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45716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45716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45716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45716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45716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45716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45716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45716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45716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45716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45716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45716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45716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45716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45716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45716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45716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45716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45716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45716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45716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45716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45716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45716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45716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45716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45716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45716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45716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45716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45716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45716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45716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45716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45716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45716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45716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45716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45716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45716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45716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45716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45716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45716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45716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45716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45716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45716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45716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45716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45716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45716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45716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45716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45716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45716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45716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45716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45716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45716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45716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45716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45716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45716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45716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45716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45716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45716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45716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45716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45716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45716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45716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45716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45716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45716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45716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45716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45716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45716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45716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45716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45716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45716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45716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45716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45716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45716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45716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45716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45716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45716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45716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45716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45716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45716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45716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45716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45716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45716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45716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45716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45716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45716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45716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45716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45716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45716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45716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45716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45716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45716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45716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45716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45716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45716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45716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45716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45716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45716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45716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45716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45716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45716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45716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45716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45716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45716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45716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45716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45716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45716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45716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45716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45716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45716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45716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45716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45716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45716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45716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45716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45716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45716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45716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45716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45716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45716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45716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45716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45716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45716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45716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45716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45716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45716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45716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45716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45716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45716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45716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45716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45716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45716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45716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45716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45716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45716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45716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45716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45716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45716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45716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45716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45716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45716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45716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45716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45716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45716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45716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45716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45716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45716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45716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45716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45716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45716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45716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45716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45716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45716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45716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45716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45716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45716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45716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45716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45716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45716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45716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45716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45716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45716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45716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45716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45716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45716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45716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45716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45716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45716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45716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45716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45716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45716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45716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45716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45716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45716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45716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45716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45716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45716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45716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45716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45716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45716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45716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45716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45716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45716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45716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45716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45716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45716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45716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45716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45716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45716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45716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45716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45716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45716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45716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45716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45716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45716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45716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45716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45716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45716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45716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45716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45716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45716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45716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45716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45716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45716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45716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45716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45716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45716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45716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45716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45716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45716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45716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45716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45716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45716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45716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45716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45716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45716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45716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45716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45716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45716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45716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45716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45716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45716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45716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45716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45716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45716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45716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45716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45716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45716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45716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45716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45716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45716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45716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45716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45716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45716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45716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45716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45716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45716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45716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45716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45716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45716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45716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45716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45716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45716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45716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45716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45716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45716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45716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45716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45716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45716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45716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45716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45716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45716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45716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45716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45716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45716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45716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45716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45716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45716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45716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45716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45716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45716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45716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45716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45716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45716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45716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45716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45716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45716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45716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45716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45716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45716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45716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45716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45716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45716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45716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45716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45716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45716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45716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45716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45716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45716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45716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45716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45716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45716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45716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45716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45716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45716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45716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45716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45716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45716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45716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45716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45716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45716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45716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45716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45716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45716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45716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45716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45716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45716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45716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45716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45716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45716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45716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45716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45716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45716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45716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45716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45716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45716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45716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45716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45716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45716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45716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45716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45716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45716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45716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45716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45716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45716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45716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45716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45716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45716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45716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45716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45716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45716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45716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45716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45716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45716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45716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45716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45716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45716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45716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45716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45716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45716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45716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45716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45716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45716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45716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45716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45716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45716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45716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45716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45716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45716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45716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45716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45716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45716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45716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45716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45716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45716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45716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45716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45716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45716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45716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45716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45716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45716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45716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45716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45716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45716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45716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45716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45716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45716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45716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45716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45716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45716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45716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45716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45716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45716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45716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45716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45716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45716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45716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45716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45716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45716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45716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45716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45716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45716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45716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45716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45716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45716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45716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45716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45716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45716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45716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45716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45716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45716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45716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45716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45716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45716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45716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45716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45716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45716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45716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45716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45716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45716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45716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45716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45716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45716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45716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45716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45716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45716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45716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45716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45716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45716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45716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45716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45716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45716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45716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45716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45716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45716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45716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45716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45716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45716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45716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45716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45716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45716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45716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45716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45716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45716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45716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45716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45716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45716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45716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45716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45716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45716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45716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45716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45716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45716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45716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45716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45716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45716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45716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45716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45716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45716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45716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45716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45716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45716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45716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45716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45716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45716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45716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45716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45716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45716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45716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45716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45716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45716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45716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45716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45716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45716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45716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45716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45716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45716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45716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45716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45716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45716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45716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45716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45716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45716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45716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45716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45716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45716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45716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45716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45716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45716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45716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45716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45716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45716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45716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45716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45716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45716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45716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45716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45716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45716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45716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45716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45716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45716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45716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45716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45716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45716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45716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45716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45716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45716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45716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45716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45716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45716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45716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45716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45716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45716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45716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45716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45716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45716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45716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45716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45716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45716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45716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45716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45716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45716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45716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45716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45716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45716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45716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45716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45716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45716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45716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45716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45716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45716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45716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45716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45716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45716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45716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45716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45716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45716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45716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45716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45716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45716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45716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45716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45716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45716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45716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45716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45716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45716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45716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45716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45716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45716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45716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45716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45716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45716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45716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45716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45716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45716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45716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45716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45716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45716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45716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45716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45716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45716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45716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45716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45716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45716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45716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45716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45716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45716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45716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45716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45716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45716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45716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45716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45716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45716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45716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45716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45716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45716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45716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45716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45716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45716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45716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45716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45716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45716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45716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45716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45716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45716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45716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45716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45716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45716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45716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45716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45716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45716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45716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45716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45716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45716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45716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45716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45716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45716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45716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45716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45716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45716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45716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45716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45716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45716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45716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45716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45716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45716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45716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45716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45716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45716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45716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45716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45716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45716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45716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45716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45716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45716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45716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45716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45716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45716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45716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45716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45716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45716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45716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45716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45716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45716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45716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45716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45716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45716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45716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45716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45716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45716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45716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45716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45716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45716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45716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45716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45716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45716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45716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45716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45716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45716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45716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45716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45716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45716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45716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45716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45716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45716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45716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45716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45716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45716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45716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45716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45716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45716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45716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45716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45716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45716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45716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45716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45716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45716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45716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45716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45716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45716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45716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45716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45716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45716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45716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45716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45716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45716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45716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45716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45716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45716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45716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45716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45716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45716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45716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45716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45716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45716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45716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45716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45716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45716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45716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45716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45716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45716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45716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45716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45716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45716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45716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45716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45716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45716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45716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45716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45716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45716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45716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45716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45716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45716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45716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45716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45716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45716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45716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45716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45716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45716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45716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45716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45716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45716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45716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45716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45716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45716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45716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45716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45716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45716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45716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45716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45716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45716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45716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45716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45716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45716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45716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45716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45716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45716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45716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45716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45716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45716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45716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45716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45716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45716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45716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45716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45716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45716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45716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45716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45716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45716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45716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45716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45716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45716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45716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45716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45716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45716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45716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45716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45716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45716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45716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45716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45716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45716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45716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45716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45716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45716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45716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45716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45716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45716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45716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45716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45716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45716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45716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45716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45716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45716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45716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45716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45716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45716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45716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45716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45716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45716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45716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45716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45716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45716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45716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45716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45716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45716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45716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45716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45716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45716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45716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45716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45716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45716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45716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45716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45716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45716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45716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45716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45716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45716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45716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45716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45716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45716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45716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45716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45716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45716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45716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45716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45716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45716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45716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45716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45716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45716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45716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45716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45716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45716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45716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45716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45716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45716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45716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45716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45716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45716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45716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45716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45716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45716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45716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45716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45716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45716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45716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45716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45716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45716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45716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45716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45716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45716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45716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45716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45716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45716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45716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45716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45716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45716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45716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45716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45716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45716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45716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45716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45716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45716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45716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45716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45716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45716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45716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45716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45716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45716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45716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45716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45716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45716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45716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45716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45716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45716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45716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45716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45716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45716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45716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45716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45716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45716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45716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45716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45716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45716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45716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45716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45716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45716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45716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45716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45716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45716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45716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45716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45716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45716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45716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45716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45716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45716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45716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45716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45716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45716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45716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45716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45716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45716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45716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45716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45716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45716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45716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45716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45716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45716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45716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45716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45716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45716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45716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45716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45716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45716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45716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45716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45716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45716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45716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45716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45716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45716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45716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45716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45716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45716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45716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45716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45716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45716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45716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45716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45716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45716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45716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45716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45716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45716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45716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45716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45716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45716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45716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45716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45716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45716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45716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45716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45716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45716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45716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45716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45716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45716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45716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45716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45716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45716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45716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45716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45716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45716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45716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45716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45716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45716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45716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45716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45716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45716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45716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45716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45716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45716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45716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45716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45716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45716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45716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45716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45716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45716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45716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45716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45716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45716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45716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45716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45716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45716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45716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45716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45716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45716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45716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45716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45716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45716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45716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45716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45716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45716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45716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45716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45716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45716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45716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45716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45716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45716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45716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45716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45716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45716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45716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45716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45716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45716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45716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45716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45716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45716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45716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45716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45716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45716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45716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45716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45716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45716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45716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45716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45716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45716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45716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45716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45716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45716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45716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45716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45716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45716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45716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45716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45716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45716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45716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45716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45716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45716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45716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45716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45716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45716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45716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45716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45716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45716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45716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45716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45716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45716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45716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45716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45716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45716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45716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45716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45716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45716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45716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45716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45716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45716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45716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45716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45716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45716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45716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45716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45716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45716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45716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45716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45716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45716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45716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45716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45716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45716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45716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45716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45716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45716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45716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45716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45716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45716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45716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45716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45716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45716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45716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45716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45716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45716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45716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45716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45716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45716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45716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45716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45716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45716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45716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45716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45716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45716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45716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45716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45716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45716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45716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45716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45716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45716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45716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45716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45716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45716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45716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45716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45716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45716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45716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45716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45716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45716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45716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45716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45716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45716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45716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45716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45716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45716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45716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45716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45716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45716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45716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45716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45716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45716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45716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45716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45716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45716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45716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45716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45716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45716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45716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45716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45716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45716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45716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45716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45716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45716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45716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45716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45716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45716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45716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45716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45716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45716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45716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45716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45716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45716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45716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45716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45716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45716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45716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45716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45716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45716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45716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45716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45716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45716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45716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45716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45716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45716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45716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45716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45716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45716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45716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45716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45716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45716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45716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45716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45716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45716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45716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45716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45716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45716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45716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45716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45716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45716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45716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45716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45716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45716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45716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45716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45716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45716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45716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45716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45716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45716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45716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45716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45716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45716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45716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45716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45716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45716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45716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45716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45716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45716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45716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45716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45716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45716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45716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45716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45716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45716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45716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45716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45716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45716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45716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45716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45716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45716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45716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45716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45716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45716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45716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45716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45716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45716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45716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45716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45716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45716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45716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45716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45716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45716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45716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45716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45716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45716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45716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45716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45716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45716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45716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45716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45716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45716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45716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45716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45716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45716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45716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45716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45716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45716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45716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45716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45716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45716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45716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45716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45716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45716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45716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45716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45716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45716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45716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45716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45716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45716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45716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45716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45716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45716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45716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45716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45716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45716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45716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45716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45716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45716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45716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45716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45716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45716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45716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45716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45716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45716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45716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45716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45716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45716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45716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45716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45716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45716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45716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45716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45716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45716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45716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45716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45716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45716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45716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45716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45716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45716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45716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45716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45716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45716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45716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45716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45716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45716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45716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45716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45716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45716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45716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45716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45716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45716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45716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45716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45716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45716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45716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45716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45716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45716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45716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45716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45716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45716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45716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45716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45716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45716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45716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45716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45716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45716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45716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45716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45716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45716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45716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45716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45716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45716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45716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45716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45716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45716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45716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45716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45716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45716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45716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45716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45716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45716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45716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45716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45716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45716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45716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45716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45716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45716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45716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45716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45716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45716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45716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45716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45716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45716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45716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45716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45716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45716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45716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45716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45716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45716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45716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45716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45716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45716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45716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45716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45716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45716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45716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45716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45716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45716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45716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45716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45716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45716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45716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45716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45716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45716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45716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45716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45716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45716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45716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45716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45716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45716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45716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45716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45716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45716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45716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45716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45716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45716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45716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45716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45716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45716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45716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45716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45716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45716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45716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45716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45716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45716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45716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45716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45716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45716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45716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45716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45716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45716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45716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45716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45716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45716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45716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45716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45716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45716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45716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45716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45716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45716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45716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45716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45716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45716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45716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45716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45716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45716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45716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45716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45716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45716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45716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45716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45716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45716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45716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45716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45716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45716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45716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45716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45716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45716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45716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45716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45716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45716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45716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45716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45716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45716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45716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45716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45716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45716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45716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45716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45716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45716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45716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45716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45716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45716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45716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45716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45716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45716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45716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45716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45716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45716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45716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45716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45716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45716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45716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45716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45716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45716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45716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45716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45716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45716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45716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45716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45716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45716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45716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45716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45716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45716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45716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45716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45716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45716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45716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45716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45716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45716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45716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45716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45716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45716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45716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45716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45716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45716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45716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45716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45716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45716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45716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45716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45716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45716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45716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45716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45716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45716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45716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45716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45716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45716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45716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45716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45716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45716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45716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45716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45716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45716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45716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45716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45716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45716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45716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45716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45716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45716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45716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45716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45716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45716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45716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45716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45716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45716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45716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45716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45716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45716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45716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45716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45716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45716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45716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45716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45716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45716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45716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45716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45716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45716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45716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45716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45716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45716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45716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45716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45716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45716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45716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45716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45716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45716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45716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45716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45716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45716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45716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45716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45716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45716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45716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45716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45716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45716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45716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45716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45716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45716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45716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45716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45716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45716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45716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45716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45716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45716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45716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45716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45716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45716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45716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45716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45716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45716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45716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45716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45716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45716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45716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45716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45716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45716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45716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45716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45716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45716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45716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45716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45716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45716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45716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45716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45716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45716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45716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45716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45716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45716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45716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45716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45716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45716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45716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45716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45716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45716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45716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45716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45716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45716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45716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45716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45716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45716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45716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45716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45716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45716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45716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45716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45716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45716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45716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45716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45716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45716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45716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45716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45716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45716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45716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45716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45716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45716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45716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45716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45716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45716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45716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45716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45716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45716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45716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45716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45716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45716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45716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45716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45716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45716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45716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45716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45716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45716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45716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45716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45716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45716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45716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45716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45716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45716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45716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45716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45716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45716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45716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45716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45716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45716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45716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45716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45716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45716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45716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45716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45716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45716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45716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45716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45716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45716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45716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45716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45716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45716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45716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45716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45716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45716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45716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45716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45716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45716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45716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45716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45716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45716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45716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45716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45716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45716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45716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45716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45716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45716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45716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45716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45716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45716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45716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45716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45716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45716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45716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45716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45716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45716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45716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45716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45716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45716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45716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45716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45716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45716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45716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45716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45716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45716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45716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45716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45716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45716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45716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45716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45716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45716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45716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45716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45716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45716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45716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45716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45716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45716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45716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45716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45716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45716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45716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45716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45716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45716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45716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45716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45716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45716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45716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45716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45716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45716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45716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45716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45716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45716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45716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45716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45716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45716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45716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45716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45716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45716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45716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45716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45716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45716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45716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45716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45716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45716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45716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45716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45716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45716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45716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45716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45716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45716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45716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45716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45716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45716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45716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45716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45716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45716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45716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45716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45716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45716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45716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45716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45716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45716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45716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45716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45716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45716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45716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45716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45716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45716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45716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45716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45716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45716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45716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45716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45716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45716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45716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45716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45716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45716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45716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45716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45716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45716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45716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45716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45716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45716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45716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45716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45716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45716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45716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45716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45716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45716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45716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45716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45716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45716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45716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45716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45716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45716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45716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45716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45716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45716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45716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45716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45716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45716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45716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45716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45716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45716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45716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45716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45716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45716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45716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45716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45716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45716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45716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45716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45716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45716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45716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45716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45716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45716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45716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45716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45716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45716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45716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45716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45716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45716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45716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45716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45716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45716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45716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45716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45716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45716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45716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45716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45716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45716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45716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45716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45716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45716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45716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45716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45716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45716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45716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45716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45716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45716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45716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45716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45716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45716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45716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45716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45716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45716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45716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45716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45716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45716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45716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45716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45716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45716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45716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45716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45716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45716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45716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45716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45716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45716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45716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45716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45716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45716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45716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45716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45716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45716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45716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45716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45716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45716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45716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45716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45716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45716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45716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45716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45716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45716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45716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45716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45716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45716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45716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45716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45716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45716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45716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45716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45716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45716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45716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45716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45716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45716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45716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45716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45716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45716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45716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45716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45716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45716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45716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45716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45716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45716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45716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45716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45716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45716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45716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45716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45716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45716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45716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45716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45716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45716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45716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45716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45716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45716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45716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45716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45716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45716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45716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45716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45716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45716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45716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45716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45716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45716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45716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45716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45716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45716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45716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45716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45716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45716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45716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45716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45716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45716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45716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45716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45716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45716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45716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45716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45716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45716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45716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45716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45716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45716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45716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45716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45716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45716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45716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45716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45716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45716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45716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45716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45716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45716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45716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45716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45716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45716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45716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45716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45716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45716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45716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45716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45716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45716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45716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45716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45716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45716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45716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45716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45716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45716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45716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45716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45716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45716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45716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45716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45716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45716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45716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45716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45716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45716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45716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45716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45716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45716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45716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45716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45716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45716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45716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45716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45716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45716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45716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45716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45716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45716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45716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45716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45716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45716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45716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45716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45716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45716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45716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45716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45716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45716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45716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45716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45716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45716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45716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45716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45716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45716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45716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45716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45716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45716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45716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45716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45716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45716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45716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45716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45716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45716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45716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45716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45716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45716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45716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45716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45716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45716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45716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45716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45716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45716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45716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45716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45716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45716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45716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45716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45716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45716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45716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45716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45716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45716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45716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45716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45716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45716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45716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45716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45716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45716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45716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45716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45716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45716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45716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45716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45716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45716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45716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45716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45716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45716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45716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45716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45716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45716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45716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45716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45716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45716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45716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45716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45716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45716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45716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45716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45716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45716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45716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45716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45716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45716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45716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45716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45716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45716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45716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45716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45716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45716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45716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45716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45716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45716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45716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45716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45716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45716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45716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45716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45716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45716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45716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45716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45716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45716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45716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45716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45716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45716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45716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45716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45716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45716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45716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45716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45716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45716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45716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45716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45716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45716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45716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45716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45716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45716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45716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45716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45716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45716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45716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45716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45716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45716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45716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45716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45716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45716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45716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45716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45716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45716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45716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45716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45716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45716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45716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45716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45716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45716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45716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45716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45716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45716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45716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45716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45716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45716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45716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45716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45716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45716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45716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45716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45716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45716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45716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45716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45716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45716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45716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45716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45716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45716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45716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45716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45716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45716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45716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45716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45716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45716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45716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45716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45716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45716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45716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45716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45716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45716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45716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45716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45716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45716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45716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45716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45716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45716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45716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45716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45716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45716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45716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45716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45716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45716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45716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45716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45716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45716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45716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45716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45716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45716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45716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45716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45716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45716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45716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45716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45716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45716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45716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45716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45716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45716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45716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45716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45716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45716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45716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45716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45716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45716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45716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45716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45716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45716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45716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45716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45716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45716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45716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45716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45716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45716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45716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45716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45716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45716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45716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45716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45716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45716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45716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45716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45716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45716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45716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45716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45716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45716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45716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45716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45716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45716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45716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45716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45716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45716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45716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45716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45716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45716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45716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45716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45716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45716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45716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45716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45716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45716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45716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45716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45716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45716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45716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45716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45716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45716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45716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45716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45716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45716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45716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45716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45716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45716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45716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45716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45716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45716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45716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45716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45716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45716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45716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45716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45716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45716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45716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45716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45716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45716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45716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45716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45716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45716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45716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45716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45716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45716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45716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45716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45716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45716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45716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45716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45716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45716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45716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45716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45716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45716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45716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45716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45716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45716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45716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45716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45716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45716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45716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45716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45716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45716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45716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45716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45716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45716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45716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45716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45716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45716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45716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45716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45716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45716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45716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45716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45716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45716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45716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45716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45716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45716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45716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45716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45716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45716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45716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45716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45716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45716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45716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45716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45716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45716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45716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45716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45716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45716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45716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45716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45716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45716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45716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45716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45716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45716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45716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45716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45716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45716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45716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45716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45716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45716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45716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45716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45716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45716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45716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45716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45716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45716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45716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45716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45716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45716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45716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45716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45716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45716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45716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45716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45716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45716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45716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45716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45716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45716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45716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45716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45716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45716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45716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45716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45716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45716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45716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45716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45716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45716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45716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45716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45716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45716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45716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45716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45716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45716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45716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45716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45716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45716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45716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45716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45716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45716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45716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45716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45716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45716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45716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45716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45716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45716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45716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45716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45716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45716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45716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45716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45716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45716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45716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45716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45716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45716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45716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45716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45716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45716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45716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45716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45716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45716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45716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45716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45716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45716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45716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45716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45716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45716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45716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45716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45716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45716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45716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45716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45716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45716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45716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45716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45716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45716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45716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45716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45716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45716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45716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45716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45716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45716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45716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45716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45716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45716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45716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45716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45716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45716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45716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45716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45716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45716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45716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45716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45716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45716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45716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45716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45716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45716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45716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45716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45716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45716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45716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45716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45716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45716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45716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45716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45716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45716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45716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45716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45716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45716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45716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45716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45716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45716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45716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45716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45716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45716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45716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45716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45716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45716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45716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45716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45716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45716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45716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45716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45716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45716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45716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45716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45716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45716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45716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45716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45716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45716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45716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45716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45716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45716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45716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45716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45716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45716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45716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45716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45716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45716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45716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45716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45716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45716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45716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45716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45716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45716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45716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45716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45716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45716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45716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45716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45716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45716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45716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45716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45716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45716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45716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45716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45716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45716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45716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45716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45716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45716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45716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45716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45716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45716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45716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45716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45716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45716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45716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45716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45716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45716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45716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45716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45716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45716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45716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45716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45716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45716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45716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45716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45716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45716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45716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45716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45716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45716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45716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45716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45716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45716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45716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45716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45716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45716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45716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45716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45716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45716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45716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45716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45716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45716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45716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45716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45716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45716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45716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45716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45716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45716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45716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45716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45716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45716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45716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45716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45716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45716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45716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45716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45716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45716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45716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45716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45716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45716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45716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45716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45716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45716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45716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45716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45716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45716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45716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45716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45716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45716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45716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45716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45716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45716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45716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45716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45716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45716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45716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45716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45716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45716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45716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45716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45716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45716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45716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45716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45716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45716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45716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45716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45716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45716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45716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45716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45716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45716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45716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45716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45716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45716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45716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45716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45716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45716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45716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45716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45716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45716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45716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45716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45716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45716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45716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45716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45716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45716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45716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45716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45716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45716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45716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45716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45716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45716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45716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45716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45716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45716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45716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45716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45716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45716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45716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45716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45716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45716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45716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45716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45716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45716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45716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45716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45716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45716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45716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45716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45716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45716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45716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45716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45716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45716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45716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45716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45716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45716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45716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45716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45716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45716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45716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45716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45716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45716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45716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45716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45716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45716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45716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45716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45716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45716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45716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45716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45716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45716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45716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45716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45716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45716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45716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45716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45716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45716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45716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45716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45716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45716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45716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45716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45716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45716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45716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45716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45716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45716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45716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45716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45716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45716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45716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45716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45716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45716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45716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45716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45716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45716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45716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45716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45716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45716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45716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45716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45716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45716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45716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45716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45716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45716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45716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45716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45716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45716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45716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45716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45716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45716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45716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45716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45716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45716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45716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45716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45716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45716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45716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45716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45716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45716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45716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45716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45716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45716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45716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45716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45716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45716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45716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45716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45716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45716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45716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45716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45716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45716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45716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45716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45716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45716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45716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45716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45716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45716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45716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45716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45716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45716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45716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45716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45716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45716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45716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45716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45716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45716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45716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45716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45716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45716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45716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45716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45716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45716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45716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45716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45716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45716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45716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45716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45716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45716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45716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45716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45716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45716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45716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45716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45716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45716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45716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45716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45716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45716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45716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45716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45716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45716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45716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45716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45716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45716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45716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45716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45716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45716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45716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45716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45716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45716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45716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45716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45716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45716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45716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45716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45716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45716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45716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45716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45716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45716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45716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45716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45716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45716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45716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45716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45716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45716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45716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45716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45716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45716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45716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45716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45716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45716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45716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45716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45716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45716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45716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45716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45716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45716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45716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45716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45716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45716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45716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45716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45716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45716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45716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45716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45716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45716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45716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45716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45716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45716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45716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45716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45716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45716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45716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45716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45716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45716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45716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45716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45716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45716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45716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45716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45716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45716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45716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45716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45716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45716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45716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45716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45716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45716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45716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45716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45716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45716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45716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45716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45716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45716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45716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45716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45716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45716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45716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45716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45716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45716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45716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45716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45716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45716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45716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45716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45716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45716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45716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45716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45716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45716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45716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45716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45716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45716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45716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45716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45716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45716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45716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45716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45716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45716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45716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45716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45716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45716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45716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45716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45716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45716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45716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45716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45716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45716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45716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45716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45716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45716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45716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45716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45716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45716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45716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45716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45716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45716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45716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45716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45716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45716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45716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45716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45716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45716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45716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45716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45716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45716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45716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45716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45716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45716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45716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45716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45716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45716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45716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45716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45716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45716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45716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45716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45716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45716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45716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45716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45716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45716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45716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45716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45716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45716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45716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45716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45716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45716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45716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45716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45716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45716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45716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45716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45716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45716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45716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45716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45716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45716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45716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45716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45716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45716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45716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45716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45716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45716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45716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45716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45716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45716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45716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45716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45716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45716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45716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45716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45716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45716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45716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45716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45716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45716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45716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45716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45716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45716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45716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45716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45716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45716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45716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45716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45716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45716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45716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45716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45716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45716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45716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45716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45716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45716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45716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45716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45716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45716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45716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45716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45716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45716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45716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45716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45716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45716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45716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45716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45716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45716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45716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45716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45716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45716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45716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45716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45716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45716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45716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45716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45716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45716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45716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45716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45716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45716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45716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45716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45716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45716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45716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45716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45716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45716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45716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45716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45716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45716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45716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45716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45716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45716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45716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45716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45716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45716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45716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45716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45716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45716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45716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45716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45716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45716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45716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45716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45716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45716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45716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45716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45716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45716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45716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45716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45716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45716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45716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45716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45716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45716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45716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45716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45716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45716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45716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45716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45716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45716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45716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45716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45716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45716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45716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45716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45716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45716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45716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45716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45716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45716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45716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45716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45716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45716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45716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45716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45716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45716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45716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45716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45716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45716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45716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45716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45716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45716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45716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45716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45716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45716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45716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45716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45716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45716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45716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45716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45716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45716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45716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45716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45716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45716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45716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45716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45716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45716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45716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45716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45716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45716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45716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45716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45716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45716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45716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45716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45716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45716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45716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45716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45716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45716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45716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45716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45716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45716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45716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45716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45716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45716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45716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45716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45716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45716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45716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45716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45716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45716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45716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45716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45716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45716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45716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45716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45716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45716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45716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45716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45716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45716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45716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45716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45716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45716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45716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45716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45716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45716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45716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45716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45716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45716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45716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45716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45716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45716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45716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45716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45716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45716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45716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45716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45716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45716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45716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45716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45716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45716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45716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45716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45716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45716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45716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45716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45716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45716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45716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45716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45716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45716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45716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45716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45716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45716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45716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45716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45716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45716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45716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45716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45716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45716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45716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45716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45716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45716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45716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45716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45716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45716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45716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45716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45716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45716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45716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45716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45716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45716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45716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45716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45716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45716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45716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45716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45716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45716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45716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45716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45716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45716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45716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45716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45716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45716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45716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45716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45716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45716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45716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45716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45716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45716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45716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45716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45716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45716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45716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45716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45716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45716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45716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45716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45716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45716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45716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45716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45716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45716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45716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45716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45716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45716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45716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45716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45716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45716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45716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45716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45716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45716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45716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45716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45716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45716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45716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45716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45716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45716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45716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45716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45716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45716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45716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45716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45716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45716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45716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45716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45716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45716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45716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45716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45716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45716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45716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45716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45716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45716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45716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45716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45716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45716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45716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45716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45716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45716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45716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45716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45716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45716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45716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45716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45716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45716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45716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45716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45716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45716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45716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45716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45716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45716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45716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45716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45716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45716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45716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45716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45716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45716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45716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45716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45716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45716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45716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45716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45716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45716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45716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45716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45716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45716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45716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45716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45716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45716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45716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45716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45716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45716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45716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45716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45716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45716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45716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45716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45716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45716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45716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45716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45716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45716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45716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45716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45716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45716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45716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45716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45716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45716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45716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45716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45716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45716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45716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45716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45716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45716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45716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45716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45716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45716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45716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45716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45716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45716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45716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45716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45716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45716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45716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45716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45716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45716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45716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45716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45716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45716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45716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45716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45716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45716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45716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45716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45716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45716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45716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45716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45716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45716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45716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45716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45716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45716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45716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45716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45716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45716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45716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45716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45716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45716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45716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45716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45716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45716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45716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45716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45716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45716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45716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45716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45716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45716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45716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45716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45716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45716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45716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45716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45716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45716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45716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45716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45716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45716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45716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45716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45716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45716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45716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45716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45716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45716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45716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45716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45716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45716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45716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45716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45716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45716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45716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45716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45716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45716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45716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45716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45716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45716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45716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45716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45716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45716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45716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45716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45716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45716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45716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45716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45716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45716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45716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45716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45716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45716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45716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45716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45716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45716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45716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45716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45716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45716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45716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45716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45716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45716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45716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45716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45716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45716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45716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45716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45716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45716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45716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45716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45716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45716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45716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45716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45716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45716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45716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45716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45716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45716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45716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45716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45716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45716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45716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45716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45716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45716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45716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45716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45716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45716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45716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45716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45716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45716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45716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45716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45716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45716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45716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45716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45716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45716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45716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45716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45716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45716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45716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45716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45716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45716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45716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45716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45716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45716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45716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45716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45716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45716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45716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45716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45716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45716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45716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45716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45716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45716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45716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45716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45716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45716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45716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45716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45716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45716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45716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45716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45716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45716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45716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45716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45716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45716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45716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45716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45716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45716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45716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45716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45716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45716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45716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45716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45716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45716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45716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45716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45716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45716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45716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45716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45716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45716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45716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45716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45716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45716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45716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45716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45716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45716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45716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45716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45716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45716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45716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45716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45716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45716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45716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45716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45716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45716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45716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45716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45716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45716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45716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45716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45716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45716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45716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45716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45716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45716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45716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45716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45716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45716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45716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45716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45716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45716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45716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45716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45716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45716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45716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45716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45716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45716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45716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45716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45716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45716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45716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45716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45716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45716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45716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45716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45716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45716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45716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45716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45716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45716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45716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45716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45716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45716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45716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45716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45716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45716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45716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45716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45716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45716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45716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45716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45716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45716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45716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45716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45716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45716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45716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45716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45716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45716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45716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45716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45716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45716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45716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45716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45716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45716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45716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45716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45716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45716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45716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45716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45716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45716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45716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45716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45716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45716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45716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45716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45716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45716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45716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45716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45716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45716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45716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45716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45716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45716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45716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45716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45716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45716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45716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45716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45716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45716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45716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45716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45716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45716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45716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45716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45716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45716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45716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45716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45716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45716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45716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45716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45716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45716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45716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45716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45716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45716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45716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45716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45716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45716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45716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45716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45716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45716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45716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45716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45716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45716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45716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45716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45716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45716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45716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45716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45716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45716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45716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45716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45716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45716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45716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45716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45716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45716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45716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45716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45716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45716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45716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45716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45716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45716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45716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45716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45716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45716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45716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45716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45716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45716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45716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45716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45716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45716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45716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45716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45716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45716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45716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45716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45716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45716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45716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45716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45716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45716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45716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45716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45716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45716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45716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45716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45716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45716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45716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45716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45716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45716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45716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45716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45716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45716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45716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45716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45716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45716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45716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45716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45716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45716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45716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45716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45716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45716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45716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45716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45716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45716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45716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45716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45716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45716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45716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45716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45716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45716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45716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45716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45716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45716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45716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45716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45716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45716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45716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45716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45716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45716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45716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45716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45716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45716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45716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45716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45716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45716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45716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45716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45716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45716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45716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45716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45716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45716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45716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45716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45716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45716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45716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45716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45716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45716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45716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45716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45716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45716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45716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45716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45716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45716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45716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45716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45716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45716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45716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45716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45716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45716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45716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45716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45716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45716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45716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45716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45716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45716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45716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45716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45716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45716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45716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45716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45716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45716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45716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45716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45716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45716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45716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45716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45716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45716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45716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45716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45716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45716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45716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45716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45716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45716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45716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45716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45716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45716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45716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45716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45716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45716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45716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45716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45716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45716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45716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45716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45716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45716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45716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45716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45716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45716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45716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45716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45716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45716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45716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45716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45716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45716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45716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45716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45716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45716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45716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45716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45716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45716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45716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45716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45716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45716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45716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45716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45716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45716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45716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45716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45716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45716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45716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45716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45716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45716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45716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45716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45716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45716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45716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45716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45716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45716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45716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45716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45716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45716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45716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45716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45716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45716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45716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45716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45716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45716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45716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45716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45716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45716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45716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45716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45716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45716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45716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45716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45716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45716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45716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45716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45716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45716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45716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45716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45716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45716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45716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45716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45716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45716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45716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45716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45716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45716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45716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45716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45716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45716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45716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45716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45716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45716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45716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45716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45716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45716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45716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45716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45716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45716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45716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45716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45716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45716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45716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45716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45716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45716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45716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45716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45716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45716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45716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45716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45716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45716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45716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45716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45716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45716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45716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45716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45716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45716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45716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45716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45716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45716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45716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45716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45716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45716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45716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45716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45716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45716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45716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45716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45716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45716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45716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45716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45716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45716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45716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45716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45716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45716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45716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45716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45716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45716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45716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45716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45716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45716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45716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45716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45716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45716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45716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45716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45716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45716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45716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45716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45716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45716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45716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45716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45716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45716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45716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45716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45716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45716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45716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45716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45716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45716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45716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45716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45716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45716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45716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45716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45716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45716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45716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45716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45716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45716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45716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45716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45716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45716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45716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45716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45716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45716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45716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45716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45716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45716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45716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45716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45716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45716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45716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45716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45716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45716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45716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45716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45716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45716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45716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45716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45716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45716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45716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45716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45716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45716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45716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45716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45716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45716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45716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45716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45716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45716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45716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45716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45716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45716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45716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45716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45716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45716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45716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45716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45716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45716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45716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45716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45716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45716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45716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45716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45716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45716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45716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45716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45716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45716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45716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45716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45716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45716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45716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45716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45716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45716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45716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45716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45716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45716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45716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45716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45716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45716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45716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45716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45716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45716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45716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45716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45716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45716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45716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45716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45716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45716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45716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45716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45716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45716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45716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45716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45716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45716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45716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45716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45716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45716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45716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45716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45716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45716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45716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45716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45716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45716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45716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45716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45716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45716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45716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45716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45716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45716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45716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45716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45716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45716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45716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45716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45716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45716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45716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45716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45716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45716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45716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45716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45716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45716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45716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45716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45716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45716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45716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45716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45716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45716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45716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45716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45716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45716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45716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45716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45716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45716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45716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45716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45716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45716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45716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45716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45716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45716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45716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45716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45716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45716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45716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45716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45716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45716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45716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45716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45716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45716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45716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45716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45716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45716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45716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45716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45716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45716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45716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45716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45716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45716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45716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45716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45716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45716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45716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45716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45716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45716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45716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45716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45716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45716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45716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45716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45716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45716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45716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45716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45716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45716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45716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45716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45716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45716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45716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45716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45716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45716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45716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45716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45716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45716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45716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45716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45716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45716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45716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45716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45716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45716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45716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45716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45716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45716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45716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45716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45716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45716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45716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45716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45716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45716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45716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45716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45716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45716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45716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45716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45716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45716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45716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45716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45716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45716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45716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45716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45716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45716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45716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45716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45716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45716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45716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45716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45716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45716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45716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45716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45716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45716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45716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45716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45716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45716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45716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45716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45716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45716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45716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45716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45716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45716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45716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45716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45716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45716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45716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45716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45716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45716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45716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45716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45716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45716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45716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45716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45716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45716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45716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45716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45716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45716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45716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45716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45716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45716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45716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45716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45716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45716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45716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45716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45716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45716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45716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45716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45716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45716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45716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45716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45716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45716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45716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45716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45716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45716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45716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45716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45716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45716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45716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45716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45716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45716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45716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45716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45716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45716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45716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45716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45716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45716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45716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45716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45716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45716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45716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45716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45716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45716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45716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45716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45716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45716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45716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45716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45716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45716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45716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45716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45716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45716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45716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45716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45716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45716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45716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45716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45716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45716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45716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45716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45716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45716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45716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45716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45716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45716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45716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45716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45716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45716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45716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45716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45716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45716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45716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45716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45716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45716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45716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45716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45716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45716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45716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45716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45716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45716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45716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45716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45716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45716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45716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45716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45716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45716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45716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45716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45716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45716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45716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45716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45716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45716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45716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45716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45716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45716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45716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45716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45716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45716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45716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45716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45716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45716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45716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45716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45716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45716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45716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45716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45716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45716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45716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45716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45716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45716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45716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45716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45716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45716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45716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45716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45716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45716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45716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45716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45716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45716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45716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45716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45716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45716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45716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45716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45716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45716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45716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45716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45716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45716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45716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45716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45716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45716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45716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45716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45716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45716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45716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45716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45716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45716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45716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45716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45716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45716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45716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45716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45716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45716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45716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45716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45716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45716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45716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45716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45716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45716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45716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45716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45716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45716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45716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45716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45716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45716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45716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45716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45716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45716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45716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45716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45716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45716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45716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45716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45716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45716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45716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45716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45716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45716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45716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45716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45716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45716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45716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45716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45716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45716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45716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45716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45716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45716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45716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45716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45716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45716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45716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45716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45716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45716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45716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45716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45716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45716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45716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45716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45716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45716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45716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45716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45716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45716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45716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45716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45716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45716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45716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45716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45716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45716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45716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45716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45716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45716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45716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45716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45716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45716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45716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45716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45716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45716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45716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45716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45716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45716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45716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45716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45716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45716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45716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45716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45716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45716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45716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45716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45716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45716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45716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45716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45716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45716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45716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45716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45716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45716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45716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45716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45716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45716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45716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45716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45716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45716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45716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45716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45716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45716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45716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45716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45716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45716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45716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45716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45716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45716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45716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45716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45716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45716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45716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45716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45716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45716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45716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45716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45716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45716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45716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45716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45716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45716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45716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45716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45716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45716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45716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45716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45716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45716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45716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45716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45716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45716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45716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45716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45716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45716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45716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45716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45716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45716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45716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45716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45716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45716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45716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45716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45716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45716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45716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45716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45716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45716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45716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45716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45716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45716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45716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45716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45716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45716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45716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45716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45716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45716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45716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45716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45716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45716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45716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45716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45716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45716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45716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45716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45716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45716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45716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45716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45716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45716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45716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45716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45716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45716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45716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45716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45716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45716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45716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45716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45716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45716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45716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45716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45716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45716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45716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45716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45716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45716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45716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45716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45716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45716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45716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45716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45716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45716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45716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45716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45716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45716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45716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45716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45716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45716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45716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45716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45716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45716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45716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45716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45716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45716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45716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45716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45716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45716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45716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45716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45716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45716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45716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45716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45716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45716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45716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45716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45716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45716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45716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45716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45716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45716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45716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45716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45716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45716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45716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45716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45716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45716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45716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45716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45716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45716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45716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45716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45716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45716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45716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45716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45716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45716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45716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45716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45716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45716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45716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45716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45716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45716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45716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45716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45716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45716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45716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45716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45716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45716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45716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45716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45716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45716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45716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45716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45716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45716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45716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45716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45716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45716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45716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45716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45716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45716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45716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45716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45716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45716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45716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45716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45716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45716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45716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45716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45716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45716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45716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45716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45716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45716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45716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45716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45716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45716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45716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45716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45716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45716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45716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45716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45716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45716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45716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45716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45716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45716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45716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45716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45716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45716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45716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45716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45716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45716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45716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45716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45716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45716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45716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45716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45716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45716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45716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45716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45716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45716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45716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45716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45716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45716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45716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45716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45716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45716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45716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45716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45716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45716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45716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45716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45716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45716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45716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45716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45716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45716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45716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45716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45716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45716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45716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45716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45716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45716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45716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45716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45716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45716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45716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45716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45716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45716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45716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45716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45716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45716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45716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45716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45716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45716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45716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45716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45716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45716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45716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45716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45716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45716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45716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45716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45716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45716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45716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45716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45716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45716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45716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45716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45716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45716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45716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45716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45716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45716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45716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45716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45716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45716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45716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45716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45716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45716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45716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45716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45716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45716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45716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45716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45716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45716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45716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45716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45716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45716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45716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45716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45716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45716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45716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45716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45716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45716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45716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45716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45716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45716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45716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45716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45716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45716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45716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45716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45716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45716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45716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45716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45716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45716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45716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45716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45716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45716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45716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45716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45716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45716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45716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45716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45716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45716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45716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45716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45716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45716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45716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45716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45716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45716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45716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45716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45716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45716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45716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45716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45716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45716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45716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45716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45716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45716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45716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45716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45716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45716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45716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45716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45716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45716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45716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45716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45716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45716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45716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45716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45716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45716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45716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45716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45716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45716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45716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45716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45716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45716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45716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45716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45716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45716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45716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45716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45716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45716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45716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45716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45716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45716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45716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45716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45716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45716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45716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45716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45716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45716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45716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45716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45716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45716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45716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45716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45716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45716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45716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45716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45716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45716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45716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45716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45716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45716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45716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45716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45716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45716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45716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45716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45716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45716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45716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45716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45716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45716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45716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45716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45716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45716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45716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45716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45716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45716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45716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45716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45716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45716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45716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45716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45716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45716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45716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45716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45716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45716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45716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45716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45716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45716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45716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45716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45716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45716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45716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45716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45716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45716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45716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45716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45716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45716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45716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45716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45716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45716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45716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45716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45716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45716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45716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45716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45716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45716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45716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45716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45716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45716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45716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45716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45716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45716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45716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45716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45716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45716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45716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45716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45716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45716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45716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45716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45716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45716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45716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45716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45716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45716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45716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45716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45716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45716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45716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45716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45716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45716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45716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45716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45716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45716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45716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45716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45716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45716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45716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45716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45716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45716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45716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45716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45716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45716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45716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45716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45716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45716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45716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45716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45716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45716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45716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45716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45716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45716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45716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45716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45716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45716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45716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45716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45716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45716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45716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45716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45716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45716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45716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45716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45716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45716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45716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45716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45716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45716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45716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45716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45716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45716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45716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45716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45716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45716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45716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45716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45716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45716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45716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45716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45716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45716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45716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45716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45716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45716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45716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45716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45716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45716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45716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45716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45716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45716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45716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45716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45716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45716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45716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45716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45716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45716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45716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45716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45716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45716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45716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45716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45716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45716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45716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45716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45716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45716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45716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45716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45716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45716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45716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45716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45716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45716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45716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45716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45716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45716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45716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45716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45716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45716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45716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45716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45716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45716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45716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45716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45716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45716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45716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45716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45716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45716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45716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45716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45716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45716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45716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45716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45716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45716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45716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45716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45716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45716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45716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45716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45716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45716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45716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45716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45716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45716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45716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45716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45716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45716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45716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45716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45716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45716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45716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45716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45716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45716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45716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45716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45716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45716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45716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45716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45716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45716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45716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45716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45716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45716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45716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45716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45716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45716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45716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45716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45716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45716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45716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45716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45716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45716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45716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45716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45716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45716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45716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45716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45716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45716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45716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45716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45716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45716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45716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45716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45716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45716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45716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45716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45716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45716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45716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45716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45716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45716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45716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45716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45716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45716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45716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45716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45716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45716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45716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45716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45716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45716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45716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45716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45716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45716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45716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45716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45716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45716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45716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45716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45716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45716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45716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45716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45716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45716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45716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45716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45716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45716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45716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45716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45716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45716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45716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45716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45716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45716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45716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45716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45716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45716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45716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45716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45716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45716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45716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45716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45716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45716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45716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45716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45716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45716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45716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45716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45716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45716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45716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45716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45716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45716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45716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45716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45716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45716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45716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45716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45716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45716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45716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45716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45716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45716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45716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45716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45716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45716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45716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45716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45716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45716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45716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45716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45716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45716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45716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45716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45716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45716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45716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45716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45716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45716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45716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45716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45716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45716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45716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45716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45716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45716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45716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45716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45716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45716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45716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45716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45716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45716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45716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45716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45716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45716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45716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45716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45716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45716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45716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45716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45716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45716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45716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45716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45716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45716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45716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45716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45716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45716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45716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45716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45716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45716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45716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45716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45716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45716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45716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45716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45716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45716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45716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45716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45716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45716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45716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45716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45716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45716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45716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45716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45716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45716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45716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45716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45716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45716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45716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45716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45716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45716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45716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45716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45716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45716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45716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45716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45716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45716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45716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45716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45716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45716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45716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45716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45716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45716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45716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45716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45716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45716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45716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45716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45716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45716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45716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45716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45716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45716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45716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45716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45716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45716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45716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45716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45716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45716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45716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45716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45716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45716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45716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45716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45716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45716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45716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45716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45716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45716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45716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45716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45716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45716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45716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45716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45716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45716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45716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45716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45716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45716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45716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45716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45716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45716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45716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45716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45716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45716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45716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45716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45716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45716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45716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45716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45716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45716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45716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45716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45716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45716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45716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45716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45716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45716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45716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45716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45716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45716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45716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45716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45716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45716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45716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45716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45716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45716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45716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45716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45716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45716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45716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45716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45716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45716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45716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45716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45716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45716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45716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45716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45716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45716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45716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45716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45716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45716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45716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45716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45716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45716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45716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45716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45716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45716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45716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45716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45716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45716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45716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45716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45716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45716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45716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45716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45716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45716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45716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45716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45716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45716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45716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45716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45716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45716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45716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45716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45716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45716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45716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45716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45716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45716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45716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45716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45716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45716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45716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45716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45716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45716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45716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45716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45716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45716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45716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45716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45716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45716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45716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45716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45716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45716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45716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45716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45716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45716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45716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45716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45716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45716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45716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45716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45716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45716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45716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45716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45716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45716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45716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45716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45716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45716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45716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45716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45716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45716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45716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45716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45716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45716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45716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45716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45716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45716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45716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45716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45716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45716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45716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45716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45716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45716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45716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45716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45716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45716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45716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45716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45716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45716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45716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45716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45716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45716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45716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45716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45716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45716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45716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45716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45716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45716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45716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45716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45716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45716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45716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45716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45716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45716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45716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45716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45716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45716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45716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45716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45716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45716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45716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45716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45716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45716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45716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45716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45716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45716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45716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45716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45716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45716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45716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45716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45716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45716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45716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45716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45716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45716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45716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45716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45716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45716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45716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45716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45716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45716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45716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45716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45716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45716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45716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45716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45716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45716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45716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45716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45716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45716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45716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45716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45716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45716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45716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45716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45716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45716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45716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45716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45716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45716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45716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45716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45716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45716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45716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45716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45716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45716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45716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45716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45716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45716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45716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45716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45716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45716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45716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45716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45716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45716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45716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45716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45716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45716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45716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45716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45716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45716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45716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45716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45716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45716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45716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45716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45716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45716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45716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45716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45716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45716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45716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45716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45716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45716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45716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45716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45716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45716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45716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45716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45716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45716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45716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45716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45716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45716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45716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45716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45716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45716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45716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45716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45716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45716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45716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45716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45716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45716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45716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45716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45716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45716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45716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45716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45716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45716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45716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45716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45716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45716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45716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45716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45716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45716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45716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45716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45716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45716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45716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45716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45716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45716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45716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45716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45716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45716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45716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45716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45716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45716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45716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45716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45716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45716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45716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45716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45716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45716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45716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45716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45716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45716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45716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45716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45716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45716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45716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45716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45716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45716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45716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45716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45716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45716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45716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45716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45716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45716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45716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45716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45716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45716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45716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45716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45716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45716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45716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45716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45716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45716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45716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45716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45716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45716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45716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45716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45716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45716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45716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45716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45716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45716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45716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45716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45716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45716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45716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45716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45716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45716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45716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45716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45716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45716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45716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45716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45716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45716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45716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45716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45716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45716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45716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45716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45716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45716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45716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45716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45716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45716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45716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45716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45716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45716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45716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45716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45716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45716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45716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45716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45716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45716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45716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45716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45716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45716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45716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45716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45716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45716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45716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45716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45716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45716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45716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45716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45716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45716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45716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45716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45716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45716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45716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45716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45716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45716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45716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45716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45716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45716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45716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45716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45716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45716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45716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45716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45716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45716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45716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45716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45716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45716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45716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45716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45716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45716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45716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45716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45716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45716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45716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45716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45716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45716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45716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45716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45716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45716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45716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45716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45716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45716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45716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45716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45716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45716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45716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45716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45716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45716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45716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45716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45716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45716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45716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45716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45716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45716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45716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45716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45716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45716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45716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45716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45716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45716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45716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45716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45716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45716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45716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45716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45716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45716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45716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45716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45716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45716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45716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45716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45716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45716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45716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45716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45716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45716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45716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45716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45716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45716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45716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45716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45716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45716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45716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45716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45716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45716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45716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45716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45716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45716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45716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45716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45716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45716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45716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45716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45716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45716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45716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45716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45716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45716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45716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45716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45716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45716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45716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45716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45716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45716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45716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45716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45716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45716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45716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45716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45716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45716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45716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45716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45716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45716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45716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45716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45716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45716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45716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45716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45716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45716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45716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45716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45716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45716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45716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45716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45716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45716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45716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45716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45716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45716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45716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45716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45716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45716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45716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45716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45716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45716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45716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45716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45716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45716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45716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45716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45716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45716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45716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45716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45716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45716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45716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45716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45716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45716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45716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45716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45716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45716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45716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45716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45716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45716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45716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45716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45716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45716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45716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45716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45716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45716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45716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45716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45716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45716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45716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45716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45716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45716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45716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45716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45716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45716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45716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45716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45716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45716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45716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45716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45716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45716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45716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45716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45716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45716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45716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45716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45716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45716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45716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45716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45716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45716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45716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45716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45716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45716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45716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45716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45716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45716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45716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45716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45716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45716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45716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45716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45716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45716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45716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45716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45716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45716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45716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45716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45716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45716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45716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45716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45716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45716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45716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45716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45716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45716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45716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45716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45716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45716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45716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45716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45716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45716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45716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45716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45716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45716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45716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45716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45716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45716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45716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45716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45716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45716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45716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45716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45716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45716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45716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45716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45716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45716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45716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45716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45716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45716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45716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45716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45716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45716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45716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45716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45716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45716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45716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45716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45716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45716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45716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45716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45716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45716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45716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45716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45716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4549-2025</t>
        </is>
      </c>
      <c r="B11942" s="1" t="n">
        <v>45687</v>
      </c>
      <c r="C11942" s="1" t="n">
        <v>45716</v>
      </c>
      <c r="D11942" t="inlineStr">
        <is>
          <t>JÖNKÖPINGS LÄN</t>
        </is>
      </c>
      <c r="E11942" t="inlineStr">
        <is>
          <t>HABO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4546-2025</t>
        </is>
      </c>
      <c r="B11943" s="1" t="n">
        <v>45687</v>
      </c>
      <c r="C11943" s="1" t="n">
        <v>45716</v>
      </c>
      <c r="D11943" t="inlineStr">
        <is>
          <t>JÖNKÖPINGS LÄN</t>
        </is>
      </c>
      <c r="E11943" t="inlineStr">
        <is>
          <t>HABO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4554-2025</t>
        </is>
      </c>
      <c r="B11944" s="1" t="n">
        <v>45687</v>
      </c>
      <c r="C11944" s="1" t="n">
        <v>45716</v>
      </c>
      <c r="D11944" t="inlineStr">
        <is>
          <t>JÖNKÖPINGS LÄN</t>
        </is>
      </c>
      <c r="E11944" t="inlineStr">
        <is>
          <t>VÄRNAMO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4586-2025</t>
        </is>
      </c>
      <c r="B11945" s="1" t="n">
        <v>45687</v>
      </c>
      <c r="C11945" s="1" t="n">
        <v>45716</v>
      </c>
      <c r="D11945" t="inlineStr">
        <is>
          <t>JÖNKÖPINGS LÄN</t>
        </is>
      </c>
      <c r="E11945" t="inlineStr">
        <is>
          <t>VÄRNAMO</t>
        </is>
      </c>
      <c r="G11945" t="n">
        <v>0.5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4599-2025</t>
        </is>
      </c>
      <c r="B11946" s="1" t="n">
        <v>45687</v>
      </c>
      <c r="C11946" s="1" t="n">
        <v>45716</v>
      </c>
      <c r="D11946" t="inlineStr">
        <is>
          <t>JÖNKÖPINGS LÄN</t>
        </is>
      </c>
      <c r="E11946" t="inlineStr">
        <is>
          <t>GISLAVED</t>
        </is>
      </c>
      <c r="G11946" t="n">
        <v>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45716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45716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45716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45716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4621-2025</t>
        </is>
      </c>
      <c r="B11951" s="1" t="n">
        <v>45687</v>
      </c>
      <c r="C11951" s="1" t="n">
        <v>45716</v>
      </c>
      <c r="D11951" t="inlineStr">
        <is>
          <t>JÖNKÖPINGS LÄN</t>
        </is>
      </c>
      <c r="E11951" t="inlineStr">
        <is>
          <t>GISLAVED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4625-2025</t>
        </is>
      </c>
      <c r="B11952" s="1" t="n">
        <v>45687</v>
      </c>
      <c r="C11952" s="1" t="n">
        <v>45716</v>
      </c>
      <c r="D11952" t="inlineStr">
        <is>
          <t>JÖNKÖPINGS LÄN</t>
        </is>
      </c>
      <c r="E11952" t="inlineStr">
        <is>
          <t>GISLAVED</t>
        </is>
      </c>
      <c r="G11952" t="n">
        <v>2.1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4629-2025</t>
        </is>
      </c>
      <c r="B11953" s="1" t="n">
        <v>45687</v>
      </c>
      <c r="C11953" s="1" t="n">
        <v>45716</v>
      </c>
      <c r="D11953" t="inlineStr">
        <is>
          <t>JÖNKÖPINGS LÄN</t>
        </is>
      </c>
      <c r="E11953" t="inlineStr">
        <is>
          <t>SÄVSJÖ</t>
        </is>
      </c>
      <c r="G11953" t="n">
        <v>3.4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4665-2025</t>
        </is>
      </c>
      <c r="B11954" s="1" t="n">
        <v>45687</v>
      </c>
      <c r="C11954" s="1" t="n">
        <v>45716</v>
      </c>
      <c r="D11954" t="inlineStr">
        <is>
          <t>JÖNKÖPINGS LÄN</t>
        </is>
      </c>
      <c r="E11954" t="inlineStr">
        <is>
          <t>JÖNKÖPING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4663-2025</t>
        </is>
      </c>
      <c r="B11955" s="1" t="n">
        <v>45687</v>
      </c>
      <c r="C11955" s="1" t="n">
        <v>45716</v>
      </c>
      <c r="D11955" t="inlineStr">
        <is>
          <t>JÖNKÖPINGS LÄN</t>
        </is>
      </c>
      <c r="E11955" t="inlineStr">
        <is>
          <t>JÖNKÖPING</t>
        </is>
      </c>
      <c r="G11955" t="n">
        <v>5.1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4667-2025</t>
        </is>
      </c>
      <c r="B11956" s="1" t="n">
        <v>45687</v>
      </c>
      <c r="C11956" s="1" t="n">
        <v>45716</v>
      </c>
      <c r="D11956" t="inlineStr">
        <is>
          <t>JÖNKÖPINGS LÄN</t>
        </is>
      </c>
      <c r="E11956" t="inlineStr">
        <is>
          <t>JÖNKÖPING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45716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4826-2025</t>
        </is>
      </c>
      <c r="B11958" s="1" t="n">
        <v>45688</v>
      </c>
      <c r="C11958" s="1" t="n">
        <v>45716</v>
      </c>
      <c r="D11958" t="inlineStr">
        <is>
          <t>JÖNKÖPINGS LÄN</t>
        </is>
      </c>
      <c r="E11958" t="inlineStr">
        <is>
          <t>ANEBY</t>
        </is>
      </c>
      <c r="G11958" t="n">
        <v>4.1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4880-2025</t>
        </is>
      </c>
      <c r="B11959" s="1" t="n">
        <v>45688</v>
      </c>
      <c r="C11959" s="1" t="n">
        <v>45716</v>
      </c>
      <c r="D11959" t="inlineStr">
        <is>
          <t>JÖNKÖPINGS LÄN</t>
        </is>
      </c>
      <c r="E11959" t="inlineStr">
        <is>
          <t>ANEBY</t>
        </is>
      </c>
      <c r="G11959" t="n">
        <v>1.4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4745-2025</t>
        </is>
      </c>
      <c r="B11960" s="1" t="n">
        <v>45688</v>
      </c>
      <c r="C11960" s="1" t="n">
        <v>45716</v>
      </c>
      <c r="D11960" t="inlineStr">
        <is>
          <t>JÖNKÖPINGS LÄN</t>
        </is>
      </c>
      <c r="E11960" t="inlineStr">
        <is>
          <t>GISLAVED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4741-2025</t>
        </is>
      </c>
      <c r="B11961" s="1" t="n">
        <v>45688</v>
      </c>
      <c r="C11961" s="1" t="n">
        <v>45716</v>
      </c>
      <c r="D11961" t="inlineStr">
        <is>
          <t>JÖNKÖPINGS LÄN</t>
        </is>
      </c>
      <c r="E11961" t="inlineStr">
        <is>
          <t>GISLAVED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4957-2025</t>
        </is>
      </c>
      <c r="B11962" s="1" t="n">
        <v>45689</v>
      </c>
      <c r="C11962" s="1" t="n">
        <v>45716</v>
      </c>
      <c r="D11962" t="inlineStr">
        <is>
          <t>JÖNKÖPINGS LÄN</t>
        </is>
      </c>
      <c r="E11962" t="inlineStr">
        <is>
          <t>HABO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4949-2025</t>
        </is>
      </c>
      <c r="B11963" s="1" t="n">
        <v>45689</v>
      </c>
      <c r="C11963" s="1" t="n">
        <v>45716</v>
      </c>
      <c r="D11963" t="inlineStr">
        <is>
          <t>JÖNKÖPINGS LÄN</t>
        </is>
      </c>
      <c r="E11963" t="inlineStr">
        <is>
          <t>NÄSSJÖ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45716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5066-2025</t>
        </is>
      </c>
      <c r="B11965" s="1" t="n">
        <v>45691</v>
      </c>
      <c r="C11965" s="1" t="n">
        <v>45716</v>
      </c>
      <c r="D11965" t="inlineStr">
        <is>
          <t>JÖNKÖPINGS LÄN</t>
        </is>
      </c>
      <c r="E11965" t="inlineStr">
        <is>
          <t>TRANÅS</t>
        </is>
      </c>
      <c r="G11965" t="n">
        <v>0.7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4986-2025</t>
        </is>
      </c>
      <c r="B11966" s="1" t="n">
        <v>45691</v>
      </c>
      <c r="C11966" s="1" t="n">
        <v>45716</v>
      </c>
      <c r="D11966" t="inlineStr">
        <is>
          <t>JÖNKÖPINGS LÄN</t>
        </is>
      </c>
      <c r="E11966" t="inlineStr">
        <is>
          <t>ANEBY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5150-2025</t>
        </is>
      </c>
      <c r="B11967" s="1" t="n">
        <v>45691</v>
      </c>
      <c r="C11967" s="1" t="n">
        <v>45716</v>
      </c>
      <c r="D11967" t="inlineStr">
        <is>
          <t>JÖNKÖPINGS LÄN</t>
        </is>
      </c>
      <c r="E11967" t="inlineStr">
        <is>
          <t>VETLANDA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5123-2025</t>
        </is>
      </c>
      <c r="B11968" s="1" t="n">
        <v>45691</v>
      </c>
      <c r="C11968" s="1" t="n">
        <v>45716</v>
      </c>
      <c r="D11968" t="inlineStr">
        <is>
          <t>JÖNKÖPINGS LÄN</t>
        </is>
      </c>
      <c r="E11968" t="inlineStr">
        <is>
          <t>JÖNKÖPING</t>
        </is>
      </c>
      <c r="G11968" t="n">
        <v>4.9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45716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45716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45716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45716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5194-2025</t>
        </is>
      </c>
      <c r="B11973" s="1" t="n">
        <v>45691</v>
      </c>
      <c r="C11973" s="1" t="n">
        <v>45716</v>
      </c>
      <c r="D11973" t="inlineStr">
        <is>
          <t>JÖNKÖPINGS LÄN</t>
        </is>
      </c>
      <c r="E11973" t="inlineStr">
        <is>
          <t>VETLANDA</t>
        </is>
      </c>
      <c r="G11973" t="n">
        <v>3.7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5198-2025</t>
        </is>
      </c>
      <c r="B11974" s="1" t="n">
        <v>45691</v>
      </c>
      <c r="C11974" s="1" t="n">
        <v>45716</v>
      </c>
      <c r="D11974" t="inlineStr">
        <is>
          <t>JÖNKÖPINGS LÄN</t>
        </is>
      </c>
      <c r="E11974" t="inlineStr">
        <is>
          <t>VAGGERYD</t>
        </is>
      </c>
      <c r="G11974" t="n">
        <v>1.4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45716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4988-2025</t>
        </is>
      </c>
      <c r="B11976" s="1" t="n">
        <v>45691</v>
      </c>
      <c r="C11976" s="1" t="n">
        <v>45716</v>
      </c>
      <c r="D11976" t="inlineStr">
        <is>
          <t>JÖNKÖPINGS LÄN</t>
        </is>
      </c>
      <c r="E11976" t="inlineStr">
        <is>
          <t>ANEBY</t>
        </is>
      </c>
      <c r="G11976" t="n">
        <v>3.7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5041-2025</t>
        </is>
      </c>
      <c r="B11977" s="1" t="n">
        <v>45691</v>
      </c>
      <c r="C11977" s="1" t="n">
        <v>45716</v>
      </c>
      <c r="D11977" t="inlineStr">
        <is>
          <t>JÖNKÖPINGS LÄN</t>
        </is>
      </c>
      <c r="E11977" t="inlineStr">
        <is>
          <t>VETLANDA</t>
        </is>
      </c>
      <c r="G11977" t="n">
        <v>1.3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5182-2025</t>
        </is>
      </c>
      <c r="B11978" s="1" t="n">
        <v>45691</v>
      </c>
      <c r="C11978" s="1" t="n">
        <v>45716</v>
      </c>
      <c r="D11978" t="inlineStr">
        <is>
          <t>JÖNKÖPINGS LÄN</t>
        </is>
      </c>
      <c r="E11978" t="inlineStr">
        <is>
          <t>SÄVSJÖ</t>
        </is>
      </c>
      <c r="G11978" t="n">
        <v>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5199-2025</t>
        </is>
      </c>
      <c r="B11979" s="1" t="n">
        <v>45691</v>
      </c>
      <c r="C11979" s="1" t="n">
        <v>45716</v>
      </c>
      <c r="D11979" t="inlineStr">
        <is>
          <t>JÖNKÖPINGS LÄN</t>
        </is>
      </c>
      <c r="E11979" t="inlineStr">
        <is>
          <t>VETLANDA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5277-2025</t>
        </is>
      </c>
      <c r="B11980" s="1" t="n">
        <v>45692</v>
      </c>
      <c r="C11980" s="1" t="n">
        <v>45716</v>
      </c>
      <c r="D11980" t="inlineStr">
        <is>
          <t>JÖNKÖPINGS LÄN</t>
        </is>
      </c>
      <c r="E11980" t="inlineStr">
        <is>
          <t>VETLANDA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45716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5379-2025</t>
        </is>
      </c>
      <c r="B11982" s="1" t="n">
        <v>45692</v>
      </c>
      <c r="C11982" s="1" t="n">
        <v>45716</v>
      </c>
      <c r="D11982" t="inlineStr">
        <is>
          <t>JÖNKÖPINGS LÄN</t>
        </is>
      </c>
      <c r="E11982" t="inlineStr">
        <is>
          <t>VETLANDA</t>
        </is>
      </c>
      <c r="G11982" t="n">
        <v>1.7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5238-2025</t>
        </is>
      </c>
      <c r="B11983" s="1" t="n">
        <v>45692</v>
      </c>
      <c r="C11983" s="1" t="n">
        <v>45716</v>
      </c>
      <c r="D11983" t="inlineStr">
        <is>
          <t>JÖNKÖPINGS LÄN</t>
        </is>
      </c>
      <c r="E11983" t="inlineStr">
        <is>
          <t>EKSJÖ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5297-2025</t>
        </is>
      </c>
      <c r="B11984" s="1" t="n">
        <v>45692</v>
      </c>
      <c r="C11984" s="1" t="n">
        <v>45716</v>
      </c>
      <c r="D11984" t="inlineStr">
        <is>
          <t>JÖNKÖPINGS LÄN</t>
        </is>
      </c>
      <c r="E11984" t="inlineStr">
        <is>
          <t>EKSJÖ</t>
        </is>
      </c>
      <c r="G11984" t="n">
        <v>1.4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5305-2025</t>
        </is>
      </c>
      <c r="B11985" s="1" t="n">
        <v>45692</v>
      </c>
      <c r="C11985" s="1" t="n">
        <v>45716</v>
      </c>
      <c r="D11985" t="inlineStr">
        <is>
          <t>JÖNKÖPINGS LÄN</t>
        </is>
      </c>
      <c r="E11985" t="inlineStr">
        <is>
          <t>SÄVSJÖ</t>
        </is>
      </c>
      <c r="G11985" t="n">
        <v>1.9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45716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5396-2025</t>
        </is>
      </c>
      <c r="B11987" s="1" t="n">
        <v>45692</v>
      </c>
      <c r="C11987" s="1" t="n">
        <v>45716</v>
      </c>
      <c r="D11987" t="inlineStr">
        <is>
          <t>JÖNKÖPINGS LÄN</t>
        </is>
      </c>
      <c r="E11987" t="inlineStr">
        <is>
          <t>VETLANDA</t>
        </is>
      </c>
      <c r="G11987" t="n">
        <v>6.5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5400-2025</t>
        </is>
      </c>
      <c r="B11988" s="1" t="n">
        <v>45692</v>
      </c>
      <c r="C11988" s="1" t="n">
        <v>45716</v>
      </c>
      <c r="D11988" t="inlineStr">
        <is>
          <t>JÖNKÖPINGS LÄN</t>
        </is>
      </c>
      <c r="E11988" t="inlineStr">
        <is>
          <t>ANEBY</t>
        </is>
      </c>
      <c r="G11988" t="n">
        <v>3.1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5427-2025</t>
        </is>
      </c>
      <c r="B11989" s="1" t="n">
        <v>45692</v>
      </c>
      <c r="C11989" s="1" t="n">
        <v>45716</v>
      </c>
      <c r="D11989" t="inlineStr">
        <is>
          <t>JÖNKÖPINGS LÄN</t>
        </is>
      </c>
      <c r="E11989" t="inlineStr">
        <is>
          <t>GISLAVED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5381-2025</t>
        </is>
      </c>
      <c r="B11990" s="1" t="n">
        <v>45692</v>
      </c>
      <c r="C11990" s="1" t="n">
        <v>45716</v>
      </c>
      <c r="D11990" t="inlineStr">
        <is>
          <t>JÖNKÖPINGS LÄN</t>
        </is>
      </c>
      <c r="E11990" t="inlineStr">
        <is>
          <t>JÖNKÖPING</t>
        </is>
      </c>
      <c r="G11990" t="n">
        <v>4.1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5401-2025</t>
        </is>
      </c>
      <c r="B11991" s="1" t="n">
        <v>45692</v>
      </c>
      <c r="C11991" s="1" t="n">
        <v>45716</v>
      </c>
      <c r="D11991" t="inlineStr">
        <is>
          <t>JÖNKÖPINGS LÄN</t>
        </is>
      </c>
      <c r="E11991" t="inlineStr">
        <is>
          <t>ANEBY</t>
        </is>
      </c>
      <c r="G11991" t="n">
        <v>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45716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5433-2025</t>
        </is>
      </c>
      <c r="B11993" s="1" t="n">
        <v>45692</v>
      </c>
      <c r="C11993" s="1" t="n">
        <v>45716</v>
      </c>
      <c r="D11993" t="inlineStr">
        <is>
          <t>JÖNKÖPINGS LÄN</t>
        </is>
      </c>
      <c r="E11993" t="inlineStr">
        <is>
          <t>NÄSSJÖ</t>
        </is>
      </c>
      <c r="G11993" t="n">
        <v>7.9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45716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45716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45716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5573-2025</t>
        </is>
      </c>
      <c r="B11997" s="1" t="n">
        <v>45693</v>
      </c>
      <c r="C11997" s="1" t="n">
        <v>45716</v>
      </c>
      <c r="D11997" t="inlineStr">
        <is>
          <t>JÖNKÖPINGS LÄN</t>
        </is>
      </c>
      <c r="E11997" t="inlineStr">
        <is>
          <t>NÄSSJÖ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5585-2025</t>
        </is>
      </c>
      <c r="B11998" s="1" t="n">
        <v>45693</v>
      </c>
      <c r="C11998" s="1" t="n">
        <v>45716</v>
      </c>
      <c r="D11998" t="inlineStr">
        <is>
          <t>JÖNKÖPINGS LÄN</t>
        </is>
      </c>
      <c r="E11998" t="inlineStr">
        <is>
          <t>JÖNKÖPING</t>
        </is>
      </c>
      <c r="G11998" t="n">
        <v>0.7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45716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5463-2025</t>
        </is>
      </c>
      <c r="B12000" s="1" t="n">
        <v>45693</v>
      </c>
      <c r="C12000" s="1" t="n">
        <v>45716</v>
      </c>
      <c r="D12000" t="inlineStr">
        <is>
          <t>JÖNKÖPINGS LÄN</t>
        </is>
      </c>
      <c r="E12000" t="inlineStr">
        <is>
          <t>NÄSSJÖ</t>
        </is>
      </c>
      <c r="G12000" t="n">
        <v>9.300000000000001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5461-2025</t>
        </is>
      </c>
      <c r="B12001" s="1" t="n">
        <v>45693</v>
      </c>
      <c r="C12001" s="1" t="n">
        <v>45716</v>
      </c>
      <c r="D12001" t="inlineStr">
        <is>
          <t>JÖNKÖPINGS LÄN</t>
        </is>
      </c>
      <c r="E12001" t="inlineStr">
        <is>
          <t>NÄSSJÖ</t>
        </is>
      </c>
      <c r="G12001" t="n">
        <v>1.9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5499-2025</t>
        </is>
      </c>
      <c r="B12002" s="1" t="n">
        <v>45693</v>
      </c>
      <c r="C12002" s="1" t="n">
        <v>45716</v>
      </c>
      <c r="D12002" t="inlineStr">
        <is>
          <t>JÖNKÖPINGS LÄN</t>
        </is>
      </c>
      <c r="E12002" t="inlineStr">
        <is>
          <t>VETLANDA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5615-2025</t>
        </is>
      </c>
      <c r="B12003" s="1" t="n">
        <v>45693</v>
      </c>
      <c r="C12003" s="1" t="n">
        <v>45716</v>
      </c>
      <c r="D12003" t="inlineStr">
        <is>
          <t>JÖNKÖPINGS LÄN</t>
        </is>
      </c>
      <c r="E12003" t="inlineStr">
        <is>
          <t>TRANÅS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45716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45716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5574-2025</t>
        </is>
      </c>
      <c r="B12006" s="1" t="n">
        <v>45693</v>
      </c>
      <c r="C12006" s="1" t="n">
        <v>45716</v>
      </c>
      <c r="D12006" t="inlineStr">
        <is>
          <t>JÖNKÖPINGS LÄN</t>
        </is>
      </c>
      <c r="E12006" t="inlineStr">
        <is>
          <t>TRANÅS</t>
        </is>
      </c>
      <c r="F12006" t="inlineStr">
        <is>
          <t>Kommuner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5616-2025</t>
        </is>
      </c>
      <c r="B12007" s="1" t="n">
        <v>45693</v>
      </c>
      <c r="C12007" s="1" t="n">
        <v>45716</v>
      </c>
      <c r="D12007" t="inlineStr">
        <is>
          <t>JÖNKÖPINGS LÄN</t>
        </is>
      </c>
      <c r="E12007" t="inlineStr">
        <is>
          <t>SÄVSJÖ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45716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5708-2025</t>
        </is>
      </c>
      <c r="B12009" s="1" t="n">
        <v>45694</v>
      </c>
      <c r="C12009" s="1" t="n">
        <v>45716</v>
      </c>
      <c r="D12009" t="inlineStr">
        <is>
          <t>JÖNKÖPINGS LÄN</t>
        </is>
      </c>
      <c r="E12009" t="inlineStr">
        <is>
          <t>SÄVSJÖ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5724-2025</t>
        </is>
      </c>
      <c r="B12010" s="1" t="n">
        <v>45694</v>
      </c>
      <c r="C12010" s="1" t="n">
        <v>45716</v>
      </c>
      <c r="D12010" t="inlineStr">
        <is>
          <t>JÖNKÖPINGS LÄN</t>
        </is>
      </c>
      <c r="E12010" t="inlineStr">
        <is>
          <t>SÄVSJÖ</t>
        </is>
      </c>
      <c r="G12010" t="n">
        <v>9.800000000000001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5746-2025</t>
        </is>
      </c>
      <c r="B12011" s="1" t="n">
        <v>45694</v>
      </c>
      <c r="C12011" s="1" t="n">
        <v>45716</v>
      </c>
      <c r="D12011" t="inlineStr">
        <is>
          <t>JÖNKÖPINGS LÄN</t>
        </is>
      </c>
      <c r="E12011" t="inlineStr">
        <is>
          <t>NÄSSJÖ</t>
        </is>
      </c>
      <c r="G12011" t="n">
        <v>2.6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5706-2025</t>
        </is>
      </c>
      <c r="B12012" s="1" t="n">
        <v>45694</v>
      </c>
      <c r="C12012" s="1" t="n">
        <v>45716</v>
      </c>
      <c r="D12012" t="inlineStr">
        <is>
          <t>JÖNKÖPINGS LÄN</t>
        </is>
      </c>
      <c r="E12012" t="inlineStr">
        <is>
          <t>SÄVSJÖ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5803-2025</t>
        </is>
      </c>
      <c r="B12013" s="1" t="n">
        <v>45694</v>
      </c>
      <c r="C12013" s="1" t="n">
        <v>45716</v>
      </c>
      <c r="D12013" t="inlineStr">
        <is>
          <t>JÖNKÖPINGS LÄN</t>
        </is>
      </c>
      <c r="E12013" t="inlineStr">
        <is>
          <t>VAGGERYD</t>
        </is>
      </c>
      <c r="G12013" t="n">
        <v>7.3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5820-2025</t>
        </is>
      </c>
      <c r="B12014" s="1" t="n">
        <v>45694</v>
      </c>
      <c r="C12014" s="1" t="n">
        <v>45716</v>
      </c>
      <c r="D12014" t="inlineStr">
        <is>
          <t>JÖNKÖPINGS LÄN</t>
        </is>
      </c>
      <c r="E12014" t="inlineStr">
        <is>
          <t>GNOSJÖ</t>
        </is>
      </c>
      <c r="G12014" t="n">
        <v>1.1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5832-2025</t>
        </is>
      </c>
      <c r="B12015" s="1" t="n">
        <v>45694</v>
      </c>
      <c r="C12015" s="1" t="n">
        <v>45716</v>
      </c>
      <c r="D12015" t="inlineStr">
        <is>
          <t>JÖNKÖPINGS LÄN</t>
        </is>
      </c>
      <c r="E12015" t="inlineStr">
        <is>
          <t>MULLSJÖ</t>
        </is>
      </c>
      <c r="G12015" t="n">
        <v>3.6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5821-2025</t>
        </is>
      </c>
      <c r="B12016" s="1" t="n">
        <v>45694</v>
      </c>
      <c r="C12016" s="1" t="n">
        <v>45716</v>
      </c>
      <c r="D12016" t="inlineStr">
        <is>
          <t>JÖNKÖPINGS LÄN</t>
        </is>
      </c>
      <c r="E12016" t="inlineStr">
        <is>
          <t>GNOSJÖ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5707-2025</t>
        </is>
      </c>
      <c r="B12017" s="1" t="n">
        <v>45694</v>
      </c>
      <c r="C12017" s="1" t="n">
        <v>45716</v>
      </c>
      <c r="D12017" t="inlineStr">
        <is>
          <t>JÖNKÖPINGS LÄN</t>
        </is>
      </c>
      <c r="E12017" t="inlineStr">
        <is>
          <t>VAGGERYD</t>
        </is>
      </c>
      <c r="G12017" t="n">
        <v>1.8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45716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5801-2025</t>
        </is>
      </c>
      <c r="B12019" s="1" t="n">
        <v>45694</v>
      </c>
      <c r="C12019" s="1" t="n">
        <v>45716</v>
      </c>
      <c r="D12019" t="inlineStr">
        <is>
          <t>JÖNKÖPINGS LÄN</t>
        </is>
      </c>
      <c r="E12019" t="inlineStr">
        <is>
          <t>NÄSSJÖ</t>
        </is>
      </c>
      <c r="G12019" t="n">
        <v>5.6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45716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45716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45716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5875-2025</t>
        </is>
      </c>
      <c r="B12023" s="1" t="n">
        <v>45695</v>
      </c>
      <c r="C12023" s="1" t="n">
        <v>45716</v>
      </c>
      <c r="D12023" t="inlineStr">
        <is>
          <t>JÖNKÖPINGS LÄN</t>
        </is>
      </c>
      <c r="E12023" t="inlineStr">
        <is>
          <t>SÄVSJÖ</t>
        </is>
      </c>
      <c r="G12023" t="n">
        <v>0.8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6033-2025</t>
        </is>
      </c>
      <c r="B12024" s="1" t="n">
        <v>45695</v>
      </c>
      <c r="C12024" s="1" t="n">
        <v>45716</v>
      </c>
      <c r="D12024" t="inlineStr">
        <is>
          <t>JÖNKÖPINGS LÄN</t>
        </is>
      </c>
      <c r="E12024" t="inlineStr">
        <is>
          <t>EKSJÖ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45716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6077-2025</t>
        </is>
      </c>
      <c r="B12026" s="1" t="n">
        <v>45697</v>
      </c>
      <c r="C12026" s="1" t="n">
        <v>45716</v>
      </c>
      <c r="D12026" t="inlineStr">
        <is>
          <t>JÖNKÖPINGS LÄN</t>
        </is>
      </c>
      <c r="E12026" t="inlineStr">
        <is>
          <t>JÖNKÖPING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6104-2025</t>
        </is>
      </c>
      <c r="B12027" s="1" t="n">
        <v>45698</v>
      </c>
      <c r="C12027" s="1" t="n">
        <v>45716</v>
      </c>
      <c r="D12027" t="inlineStr">
        <is>
          <t>JÖNKÖPINGS LÄN</t>
        </is>
      </c>
      <c r="E12027" t="inlineStr">
        <is>
          <t>VAGGERYD</t>
        </is>
      </c>
      <c r="G12027" t="n">
        <v>5.6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6088-2025</t>
        </is>
      </c>
      <c r="B12028" s="1" t="n">
        <v>45697</v>
      </c>
      <c r="C12028" s="1" t="n">
        <v>45716</v>
      </c>
      <c r="D12028" t="inlineStr">
        <is>
          <t>JÖNKÖPINGS LÄN</t>
        </is>
      </c>
      <c r="E12028" t="inlineStr">
        <is>
          <t>GISLAVED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6105-2025</t>
        </is>
      </c>
      <c r="B12029" s="1" t="n">
        <v>45698</v>
      </c>
      <c r="C12029" s="1" t="n">
        <v>45716</v>
      </c>
      <c r="D12029" t="inlineStr">
        <is>
          <t>JÖNKÖPINGS LÄN</t>
        </is>
      </c>
      <c r="E12029" t="inlineStr">
        <is>
          <t>VAGGERYD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45716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45716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45716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45716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45716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6305-2025</t>
        </is>
      </c>
      <c r="B12035" s="1" t="n">
        <v>45698</v>
      </c>
      <c r="C12035" s="1" t="n">
        <v>45716</v>
      </c>
      <c r="D12035" t="inlineStr">
        <is>
          <t>JÖNKÖPINGS LÄN</t>
        </is>
      </c>
      <c r="E12035" t="inlineStr">
        <is>
          <t>ANEBY</t>
        </is>
      </c>
      <c r="G12035" t="n">
        <v>1.5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6230-2025</t>
        </is>
      </c>
      <c r="B12036" s="1" t="n">
        <v>45698</v>
      </c>
      <c r="C12036" s="1" t="n">
        <v>45716</v>
      </c>
      <c r="D12036" t="inlineStr">
        <is>
          <t>JÖNKÖPINGS LÄN</t>
        </is>
      </c>
      <c r="E12036" t="inlineStr">
        <is>
          <t>HABO</t>
        </is>
      </c>
      <c r="G12036" t="n">
        <v>1.3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6333-2025</t>
        </is>
      </c>
      <c r="B12037" s="1" t="n">
        <v>45698</v>
      </c>
      <c r="C12037" s="1" t="n">
        <v>45716</v>
      </c>
      <c r="D12037" t="inlineStr">
        <is>
          <t>JÖNKÖPINGS LÄN</t>
        </is>
      </c>
      <c r="E12037" t="inlineStr">
        <is>
          <t>SÄVSJÖ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6226-2025</t>
        </is>
      </c>
      <c r="B12038" s="1" t="n">
        <v>45698</v>
      </c>
      <c r="C12038" s="1" t="n">
        <v>45716</v>
      </c>
      <c r="D12038" t="inlineStr">
        <is>
          <t>JÖNKÖPINGS LÄN</t>
        </is>
      </c>
      <c r="E12038" t="inlineStr">
        <is>
          <t>HABO</t>
        </is>
      </c>
      <c r="G12038" t="n">
        <v>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45716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6372-2025</t>
        </is>
      </c>
      <c r="B12040" s="1" t="n">
        <v>45699</v>
      </c>
      <c r="C12040" s="1" t="n">
        <v>45716</v>
      </c>
      <c r="D12040" t="inlineStr">
        <is>
          <t>JÖNKÖPINGS LÄN</t>
        </is>
      </c>
      <c r="E12040" t="inlineStr">
        <is>
          <t>VETLANDA</t>
        </is>
      </c>
      <c r="G12040" t="n">
        <v>1.3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6412-2025</t>
        </is>
      </c>
      <c r="B12041" s="1" t="n">
        <v>45699</v>
      </c>
      <c r="C12041" s="1" t="n">
        <v>45716</v>
      </c>
      <c r="D12041" t="inlineStr">
        <is>
          <t>JÖNKÖPINGS LÄN</t>
        </is>
      </c>
      <c r="E12041" t="inlineStr">
        <is>
          <t>GISLAVED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6433-2025</t>
        </is>
      </c>
      <c r="B12042" s="1" t="n">
        <v>45699</v>
      </c>
      <c r="C12042" s="1" t="n">
        <v>45716</v>
      </c>
      <c r="D12042" t="inlineStr">
        <is>
          <t>JÖNKÖPINGS LÄN</t>
        </is>
      </c>
      <c r="E12042" t="inlineStr">
        <is>
          <t>VETLANDA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6391-2025</t>
        </is>
      </c>
      <c r="B12043" s="1" t="n">
        <v>45699</v>
      </c>
      <c r="C12043" s="1" t="n">
        <v>45716</v>
      </c>
      <c r="D12043" t="inlineStr">
        <is>
          <t>JÖNKÖPINGS LÄN</t>
        </is>
      </c>
      <c r="E12043" t="inlineStr">
        <is>
          <t>GISLAVED</t>
        </is>
      </c>
      <c r="G12043" t="n">
        <v>9.4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6395-2025</t>
        </is>
      </c>
      <c r="B12044" s="1" t="n">
        <v>45699</v>
      </c>
      <c r="C12044" s="1" t="n">
        <v>45716</v>
      </c>
      <c r="D12044" t="inlineStr">
        <is>
          <t>JÖNKÖPINGS LÄN</t>
        </is>
      </c>
      <c r="E12044" t="inlineStr">
        <is>
          <t>GISLAVED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6407-2025</t>
        </is>
      </c>
      <c r="B12045" s="1" t="n">
        <v>45699</v>
      </c>
      <c r="C12045" s="1" t="n">
        <v>45716</v>
      </c>
      <c r="D12045" t="inlineStr">
        <is>
          <t>JÖNKÖPINGS LÄN</t>
        </is>
      </c>
      <c r="E12045" t="inlineStr">
        <is>
          <t>GISLAVED</t>
        </is>
      </c>
      <c r="G12045" t="n">
        <v>3.9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6415-2025</t>
        </is>
      </c>
      <c r="B12046" s="1" t="n">
        <v>45699</v>
      </c>
      <c r="C12046" s="1" t="n">
        <v>45716</v>
      </c>
      <c r="D12046" t="inlineStr">
        <is>
          <t>JÖNKÖPINGS LÄN</t>
        </is>
      </c>
      <c r="E12046" t="inlineStr">
        <is>
          <t>GNOSJÖ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6545-2025</t>
        </is>
      </c>
      <c r="B12047" s="1" t="n">
        <v>45699</v>
      </c>
      <c r="C12047" s="1" t="n">
        <v>45716</v>
      </c>
      <c r="D12047" t="inlineStr">
        <is>
          <t>JÖNKÖPINGS LÄN</t>
        </is>
      </c>
      <c r="E12047" t="inlineStr">
        <is>
          <t>GISLAVED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6570-2025</t>
        </is>
      </c>
      <c r="B12048" s="1" t="n">
        <v>45699</v>
      </c>
      <c r="C12048" s="1" t="n">
        <v>45716</v>
      </c>
      <c r="D12048" t="inlineStr">
        <is>
          <t>JÖNKÖPINGS LÄN</t>
        </is>
      </c>
      <c r="E12048" t="inlineStr">
        <is>
          <t>SÄVSJÖ</t>
        </is>
      </c>
      <c r="G12048" t="n">
        <v>2.9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6538-2025</t>
        </is>
      </c>
      <c r="B12049" s="1" t="n">
        <v>45699</v>
      </c>
      <c r="C12049" s="1" t="n">
        <v>45716</v>
      </c>
      <c r="D12049" t="inlineStr">
        <is>
          <t>JÖNKÖPINGS LÄN</t>
        </is>
      </c>
      <c r="E12049" t="inlineStr">
        <is>
          <t>GNOSJÖ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6546-2025</t>
        </is>
      </c>
      <c r="B12050" s="1" t="n">
        <v>45699</v>
      </c>
      <c r="C12050" s="1" t="n">
        <v>45716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6555-2025</t>
        </is>
      </c>
      <c r="B12051" s="1" t="n">
        <v>45699</v>
      </c>
      <c r="C12051" s="1" t="n">
        <v>45716</v>
      </c>
      <c r="D12051" t="inlineStr">
        <is>
          <t>JÖNKÖPINGS LÄN</t>
        </is>
      </c>
      <c r="E12051" t="inlineStr">
        <is>
          <t>VÄRNAMO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6575-2025</t>
        </is>
      </c>
      <c r="B12052" s="1" t="n">
        <v>45699</v>
      </c>
      <c r="C12052" s="1" t="n">
        <v>45716</v>
      </c>
      <c r="D12052" t="inlineStr">
        <is>
          <t>JÖNKÖPINGS LÄN</t>
        </is>
      </c>
      <c r="E12052" t="inlineStr">
        <is>
          <t>VÄRNAMO</t>
        </is>
      </c>
      <c r="G12052" t="n">
        <v>6.4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45716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6586-2025</t>
        </is>
      </c>
      <c r="B12054" s="1" t="n">
        <v>45700</v>
      </c>
      <c r="C12054" s="1" t="n">
        <v>45716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6631-2025</t>
        </is>
      </c>
      <c r="B12055" s="1" t="n">
        <v>45700</v>
      </c>
      <c r="C12055" s="1" t="n">
        <v>45716</v>
      </c>
      <c r="D12055" t="inlineStr">
        <is>
          <t>JÖNKÖPINGS LÄN</t>
        </is>
      </c>
      <c r="E12055" t="inlineStr">
        <is>
          <t>HABO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6658-2025</t>
        </is>
      </c>
      <c r="B12056" s="1" t="n">
        <v>45700</v>
      </c>
      <c r="C12056" s="1" t="n">
        <v>45716</v>
      </c>
      <c r="D12056" t="inlineStr">
        <is>
          <t>JÖNKÖPINGS LÄN</t>
        </is>
      </c>
      <c r="E12056" t="inlineStr">
        <is>
          <t>VAGGERYD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45716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45716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6682-2025</t>
        </is>
      </c>
      <c r="B12059" s="1" t="n">
        <v>45700</v>
      </c>
      <c r="C12059" s="1" t="n">
        <v>45716</v>
      </c>
      <c r="D12059" t="inlineStr">
        <is>
          <t>JÖNKÖPINGS LÄN</t>
        </is>
      </c>
      <c r="E12059" t="inlineStr">
        <is>
          <t>GISLAVED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6747-2025</t>
        </is>
      </c>
      <c r="B12060" s="1" t="n">
        <v>45700</v>
      </c>
      <c r="C12060" s="1" t="n">
        <v>45716</v>
      </c>
      <c r="D12060" t="inlineStr">
        <is>
          <t>JÖNKÖPINGS LÄN</t>
        </is>
      </c>
      <c r="E12060" t="inlineStr">
        <is>
          <t>GNOSJÖ</t>
        </is>
      </c>
      <c r="G12060" t="n">
        <v>0.5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6763-2025</t>
        </is>
      </c>
      <c r="B12061" s="1" t="n">
        <v>45700</v>
      </c>
      <c r="C12061" s="1" t="n">
        <v>45716</v>
      </c>
      <c r="D12061" t="inlineStr">
        <is>
          <t>JÖNKÖPINGS LÄN</t>
        </is>
      </c>
      <c r="E12061" t="inlineStr">
        <is>
          <t>GNOSJÖ</t>
        </is>
      </c>
      <c r="G12061" t="n">
        <v>1.6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6710-2025</t>
        </is>
      </c>
      <c r="B12062" s="1" t="n">
        <v>45700</v>
      </c>
      <c r="C12062" s="1" t="n">
        <v>45716</v>
      </c>
      <c r="D12062" t="inlineStr">
        <is>
          <t>JÖNKÖPINGS LÄN</t>
        </is>
      </c>
      <c r="E12062" t="inlineStr">
        <is>
          <t>VÄRNAMO</t>
        </is>
      </c>
      <c r="G12062" t="n">
        <v>2.6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6726-2025</t>
        </is>
      </c>
      <c r="B12063" s="1" t="n">
        <v>45700</v>
      </c>
      <c r="C12063" s="1" t="n">
        <v>45716</v>
      </c>
      <c r="D12063" t="inlineStr">
        <is>
          <t>JÖNKÖPINGS LÄN</t>
        </is>
      </c>
      <c r="E12063" t="inlineStr">
        <is>
          <t>NÄSSJÖ</t>
        </is>
      </c>
      <c r="G12063" t="n">
        <v>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6738-2025</t>
        </is>
      </c>
      <c r="B12064" s="1" t="n">
        <v>45700</v>
      </c>
      <c r="C12064" s="1" t="n">
        <v>45716</v>
      </c>
      <c r="D12064" t="inlineStr">
        <is>
          <t>JÖNKÖPINGS LÄN</t>
        </is>
      </c>
      <c r="E12064" t="inlineStr">
        <is>
          <t>GNOSJÖ</t>
        </is>
      </c>
      <c r="G12064" t="n">
        <v>1.7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6587-2025</t>
        </is>
      </c>
      <c r="B12065" s="1" t="n">
        <v>45700</v>
      </c>
      <c r="C12065" s="1" t="n">
        <v>45716</v>
      </c>
      <c r="D12065" t="inlineStr">
        <is>
          <t>JÖNKÖPINGS LÄN</t>
        </is>
      </c>
      <c r="E12065" t="inlineStr">
        <is>
          <t>GNOSJÖ</t>
        </is>
      </c>
      <c r="F12065" t="inlineStr">
        <is>
          <t>Övriga Aktiebolag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6741-2025</t>
        </is>
      </c>
      <c r="B12066" s="1" t="n">
        <v>45700</v>
      </c>
      <c r="C12066" s="1" t="n">
        <v>45716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45716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6789-2025</t>
        </is>
      </c>
      <c r="B12068" s="1" t="n">
        <v>45700</v>
      </c>
      <c r="C12068" s="1" t="n">
        <v>45716</v>
      </c>
      <c r="D12068" t="inlineStr">
        <is>
          <t>JÖNKÖPINGS LÄN</t>
        </is>
      </c>
      <c r="E12068" t="inlineStr">
        <is>
          <t>GNOSJÖ</t>
        </is>
      </c>
      <c r="G12068" t="n">
        <v>1.4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6793-2025</t>
        </is>
      </c>
      <c r="B12069" s="1" t="n">
        <v>45700</v>
      </c>
      <c r="C12069" s="1" t="n">
        <v>45716</v>
      </c>
      <c r="D12069" t="inlineStr">
        <is>
          <t>JÖNKÖPINGS LÄN</t>
        </is>
      </c>
      <c r="E12069" t="inlineStr">
        <is>
          <t>GNOSJÖ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6864-2025</t>
        </is>
      </c>
      <c r="B12070" s="1" t="n">
        <v>45701</v>
      </c>
      <c r="C12070" s="1" t="n">
        <v>45716</v>
      </c>
      <c r="D12070" t="inlineStr">
        <is>
          <t>JÖNKÖPINGS LÄN</t>
        </is>
      </c>
      <c r="E12070" t="inlineStr">
        <is>
          <t>VETLANDA</t>
        </is>
      </c>
      <c r="G12070" t="n">
        <v>4.8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45716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6893-2025</t>
        </is>
      </c>
      <c r="B12072" s="1" t="n">
        <v>45701</v>
      </c>
      <c r="C12072" s="1" t="n">
        <v>45716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6897-2025</t>
        </is>
      </c>
      <c r="B12073" s="1" t="n">
        <v>45701</v>
      </c>
      <c r="C12073" s="1" t="n">
        <v>45716</v>
      </c>
      <c r="D12073" t="inlineStr">
        <is>
          <t>JÖNKÖPINGS LÄN</t>
        </is>
      </c>
      <c r="E12073" t="inlineStr">
        <is>
          <t>JÖNKÖPING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6925-2025</t>
        </is>
      </c>
      <c r="B12074" s="1" t="n">
        <v>45701</v>
      </c>
      <c r="C12074" s="1" t="n">
        <v>45716</v>
      </c>
      <c r="D12074" t="inlineStr">
        <is>
          <t>JÖNKÖPINGS LÄN</t>
        </is>
      </c>
      <c r="E12074" t="inlineStr">
        <is>
          <t>VAGGERYD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6975-2025</t>
        </is>
      </c>
      <c r="B12075" s="1" t="n">
        <v>45701</v>
      </c>
      <c r="C12075" s="1" t="n">
        <v>45716</v>
      </c>
      <c r="D12075" t="inlineStr">
        <is>
          <t>JÖNKÖPINGS LÄN</t>
        </is>
      </c>
      <c r="E12075" t="inlineStr">
        <is>
          <t>GISLAVED</t>
        </is>
      </c>
      <c r="G12075" t="n">
        <v>2.6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6980-2025</t>
        </is>
      </c>
      <c r="B12076" s="1" t="n">
        <v>45701</v>
      </c>
      <c r="C12076" s="1" t="n">
        <v>45716</v>
      </c>
      <c r="D12076" t="inlineStr">
        <is>
          <t>JÖNKÖPINGS LÄN</t>
        </is>
      </c>
      <c r="E12076" t="inlineStr">
        <is>
          <t>VÄRNAMO</t>
        </is>
      </c>
      <c r="G12076" t="n">
        <v>1.2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7044-2025</t>
        </is>
      </c>
      <c r="B12077" s="1" t="n">
        <v>45701</v>
      </c>
      <c r="C12077" s="1" t="n">
        <v>45716</v>
      </c>
      <c r="D12077" t="inlineStr">
        <is>
          <t>JÖNKÖPINGS LÄN</t>
        </is>
      </c>
      <c r="E12077" t="inlineStr">
        <is>
          <t>VETLANDA</t>
        </is>
      </c>
      <c r="F12077" t="inlineStr">
        <is>
          <t>Sveaskog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7034-2025</t>
        </is>
      </c>
      <c r="B12078" s="1" t="n">
        <v>45701</v>
      </c>
      <c r="C12078" s="1" t="n">
        <v>45716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45716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7070-2025</t>
        </is>
      </c>
      <c r="B12080" s="1" t="n">
        <v>45701</v>
      </c>
      <c r="C12080" s="1" t="n">
        <v>45716</v>
      </c>
      <c r="D12080" t="inlineStr">
        <is>
          <t>JÖNKÖPINGS LÄN</t>
        </is>
      </c>
      <c r="E12080" t="inlineStr">
        <is>
          <t>VÄRNAMO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7000-2025</t>
        </is>
      </c>
      <c r="B12081" s="1" t="n">
        <v>45701</v>
      </c>
      <c r="C12081" s="1" t="n">
        <v>45716</v>
      </c>
      <c r="D12081" t="inlineStr">
        <is>
          <t>JÖNKÖPINGS LÄN</t>
        </is>
      </c>
      <c r="E12081" t="inlineStr">
        <is>
          <t>VETLANDA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7033-2025</t>
        </is>
      </c>
      <c r="B12082" s="1" t="n">
        <v>45701</v>
      </c>
      <c r="C12082" s="1" t="n">
        <v>45716</v>
      </c>
      <c r="D12082" t="inlineStr">
        <is>
          <t>JÖNKÖPINGS LÄN</t>
        </is>
      </c>
      <c r="E12082" t="inlineStr">
        <is>
          <t>JÖNKÖPING</t>
        </is>
      </c>
      <c r="G12082" t="n">
        <v>2.3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7041-2025</t>
        </is>
      </c>
      <c r="B12083" s="1" t="n">
        <v>45701</v>
      </c>
      <c r="C12083" s="1" t="n">
        <v>45716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3.1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7045-2025</t>
        </is>
      </c>
      <c r="B12084" s="1" t="n">
        <v>45701</v>
      </c>
      <c r="C12084" s="1" t="n">
        <v>45716</v>
      </c>
      <c r="D12084" t="inlineStr">
        <is>
          <t>JÖNKÖPINGS LÄN</t>
        </is>
      </c>
      <c r="E12084" t="inlineStr">
        <is>
          <t>JÖNKÖPING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6860-2025</t>
        </is>
      </c>
      <c r="B12085" s="1" t="n">
        <v>45701</v>
      </c>
      <c r="C12085" s="1" t="n">
        <v>45716</v>
      </c>
      <c r="D12085" t="inlineStr">
        <is>
          <t>JÖNKÖPINGS LÄN</t>
        </is>
      </c>
      <c r="E12085" t="inlineStr">
        <is>
          <t>SÄVSJÖ</t>
        </is>
      </c>
      <c r="G12085" t="n">
        <v>5.4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6865-2025</t>
        </is>
      </c>
      <c r="B12086" s="1" t="n">
        <v>45701</v>
      </c>
      <c r="C12086" s="1" t="n">
        <v>45716</v>
      </c>
      <c r="D12086" t="inlineStr">
        <is>
          <t>JÖNKÖPINGS LÄN</t>
        </is>
      </c>
      <c r="E12086" t="inlineStr">
        <is>
          <t>JÖNKÖPING</t>
        </is>
      </c>
      <c r="G12086" t="n">
        <v>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7039-2025</t>
        </is>
      </c>
      <c r="B12087" s="1" t="n">
        <v>45701</v>
      </c>
      <c r="C12087" s="1" t="n">
        <v>45716</v>
      </c>
      <c r="D12087" t="inlineStr">
        <is>
          <t>JÖNKÖPINGS LÄN</t>
        </is>
      </c>
      <c r="E12087" t="inlineStr">
        <is>
          <t>JÖNKÖPING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7067-2025</t>
        </is>
      </c>
      <c r="B12088" s="1" t="n">
        <v>45701</v>
      </c>
      <c r="C12088" s="1" t="n">
        <v>45716</v>
      </c>
      <c r="D12088" t="inlineStr">
        <is>
          <t>JÖNKÖPINGS LÄN</t>
        </is>
      </c>
      <c r="E12088" t="inlineStr">
        <is>
          <t>GISLAVED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45716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7108-2025</t>
        </is>
      </c>
      <c r="B12090" s="1" t="n">
        <v>45702</v>
      </c>
      <c r="C12090" s="1" t="n">
        <v>45716</v>
      </c>
      <c r="D12090" t="inlineStr">
        <is>
          <t>JÖNKÖPINGS LÄN</t>
        </is>
      </c>
      <c r="E12090" t="inlineStr">
        <is>
          <t>GNOSJÖ</t>
        </is>
      </c>
      <c r="G12090" t="n">
        <v>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7113-2025</t>
        </is>
      </c>
      <c r="B12091" s="1" t="n">
        <v>45702</v>
      </c>
      <c r="C12091" s="1" t="n">
        <v>45716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0.3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7147-2025</t>
        </is>
      </c>
      <c r="B12092" s="1" t="n">
        <v>45702</v>
      </c>
      <c r="C12092" s="1" t="n">
        <v>45716</v>
      </c>
      <c r="D12092" t="inlineStr">
        <is>
          <t>JÖNKÖPINGS LÄN</t>
        </is>
      </c>
      <c r="E12092" t="inlineStr">
        <is>
          <t>NÄSSJÖ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7151-2025</t>
        </is>
      </c>
      <c r="B12093" s="1" t="n">
        <v>45702</v>
      </c>
      <c r="C12093" s="1" t="n">
        <v>45716</v>
      </c>
      <c r="D12093" t="inlineStr">
        <is>
          <t>JÖNKÖPINGS LÄN</t>
        </is>
      </c>
      <c r="E12093" t="inlineStr">
        <is>
          <t>NÄSSJÖ</t>
        </is>
      </c>
      <c r="G12093" t="n">
        <v>1.3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7167-2025</t>
        </is>
      </c>
      <c r="B12094" s="1" t="n">
        <v>45702</v>
      </c>
      <c r="C12094" s="1" t="n">
        <v>45716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1.1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7171-2025</t>
        </is>
      </c>
      <c r="B12095" s="1" t="n">
        <v>45702</v>
      </c>
      <c r="C12095" s="1" t="n">
        <v>45716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7180-2025</t>
        </is>
      </c>
      <c r="B12096" s="1" t="n">
        <v>45702</v>
      </c>
      <c r="C12096" s="1" t="n">
        <v>45716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1.2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7200-2025</t>
        </is>
      </c>
      <c r="B12097" s="1" t="n">
        <v>45702</v>
      </c>
      <c r="C12097" s="1" t="n">
        <v>45716</v>
      </c>
      <c r="D12097" t="inlineStr">
        <is>
          <t>JÖNKÖPINGS LÄN</t>
        </is>
      </c>
      <c r="E12097" t="inlineStr">
        <is>
          <t>VETLANDA</t>
        </is>
      </c>
      <c r="G12097" t="n">
        <v>2.1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7145-2025</t>
        </is>
      </c>
      <c r="B12098" s="1" t="n">
        <v>45702</v>
      </c>
      <c r="C12098" s="1" t="n">
        <v>45716</v>
      </c>
      <c r="D12098" t="inlineStr">
        <is>
          <t>JÖNKÖPINGS LÄN</t>
        </is>
      </c>
      <c r="E12098" t="inlineStr">
        <is>
          <t>NÄSSJÖ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7169-2025</t>
        </is>
      </c>
      <c r="B12099" s="1" t="n">
        <v>45702</v>
      </c>
      <c r="C12099" s="1" t="n">
        <v>45716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7185-2025</t>
        </is>
      </c>
      <c r="B12100" s="1" t="n">
        <v>45702</v>
      </c>
      <c r="C12100" s="1" t="n">
        <v>45716</v>
      </c>
      <c r="D12100" t="inlineStr">
        <is>
          <t>JÖNKÖPINGS LÄN</t>
        </is>
      </c>
      <c r="E12100" t="inlineStr">
        <is>
          <t>GISLAVED</t>
        </is>
      </c>
      <c r="F12100" t="inlineStr">
        <is>
          <t>Sveaskog</t>
        </is>
      </c>
      <c r="G12100" t="n">
        <v>5.4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7268-2025</t>
        </is>
      </c>
      <c r="B12101" s="1" t="n">
        <v>45702</v>
      </c>
      <c r="C12101" s="1" t="n">
        <v>45716</v>
      </c>
      <c r="D12101" t="inlineStr">
        <is>
          <t>JÖNKÖPINGS LÄN</t>
        </is>
      </c>
      <c r="E12101" t="inlineStr">
        <is>
          <t>MULLSJÖ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7158-2025</t>
        </is>
      </c>
      <c r="B12102" s="1" t="n">
        <v>45702</v>
      </c>
      <c r="C12102" s="1" t="n">
        <v>45716</v>
      </c>
      <c r="D12102" t="inlineStr">
        <is>
          <t>JÖNKÖPINGS LÄN</t>
        </is>
      </c>
      <c r="E12102" t="inlineStr">
        <is>
          <t>NÄSSJÖ</t>
        </is>
      </c>
      <c r="G12102" t="n">
        <v>2.8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7186-2025</t>
        </is>
      </c>
      <c r="B12103" s="1" t="n">
        <v>45702</v>
      </c>
      <c r="C12103" s="1" t="n">
        <v>45716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45716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45716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45716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7358-2025</t>
        </is>
      </c>
      <c r="B12107" s="1" t="n">
        <v>45704</v>
      </c>
      <c r="C12107" s="1" t="n">
        <v>45716</v>
      </c>
      <c r="D12107" t="inlineStr">
        <is>
          <t>JÖNKÖPINGS LÄN</t>
        </is>
      </c>
      <c r="E12107" t="inlineStr">
        <is>
          <t>SÄVSJÖ</t>
        </is>
      </c>
      <c r="G12107" t="n">
        <v>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7357-2025</t>
        </is>
      </c>
      <c r="B12108" s="1" t="n">
        <v>45704</v>
      </c>
      <c r="C12108" s="1" t="n">
        <v>45716</v>
      </c>
      <c r="D12108" t="inlineStr">
        <is>
          <t>JÖNKÖPINGS LÄN</t>
        </is>
      </c>
      <c r="E12108" t="inlineStr">
        <is>
          <t>NÄSSJÖ</t>
        </is>
      </c>
      <c r="G12108" t="n">
        <v>0.4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45716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7401-2025</t>
        </is>
      </c>
      <c r="B12110" s="1" t="n">
        <v>45705</v>
      </c>
      <c r="C12110" s="1" t="n">
        <v>45716</v>
      </c>
      <c r="D12110" t="inlineStr">
        <is>
          <t>JÖNKÖPINGS LÄN</t>
        </is>
      </c>
      <c r="E12110" t="inlineStr">
        <is>
          <t>JÖNKÖPING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7554-2025</t>
        </is>
      </c>
      <c r="B12111" s="1" t="n">
        <v>45705</v>
      </c>
      <c r="C12111" s="1" t="n">
        <v>45716</v>
      </c>
      <c r="D12111" t="inlineStr">
        <is>
          <t>JÖNKÖPINGS LÄN</t>
        </is>
      </c>
      <c r="E12111" t="inlineStr">
        <is>
          <t>VETLANDA</t>
        </is>
      </c>
      <c r="G12111" t="n">
        <v>2.3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7553-2025</t>
        </is>
      </c>
      <c r="B12112" s="1" t="n">
        <v>45705</v>
      </c>
      <c r="C12112" s="1" t="n">
        <v>45716</v>
      </c>
      <c r="D12112" t="inlineStr">
        <is>
          <t>JÖNKÖPINGS LÄN</t>
        </is>
      </c>
      <c r="E12112" t="inlineStr">
        <is>
          <t>VETLANDA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7594-2025</t>
        </is>
      </c>
      <c r="B12113" s="1" t="n">
        <v>45705</v>
      </c>
      <c r="C12113" s="1" t="n">
        <v>45716</v>
      </c>
      <c r="D12113" t="inlineStr">
        <is>
          <t>JÖNKÖPINGS LÄN</t>
        </is>
      </c>
      <c r="E12113" t="inlineStr">
        <is>
          <t>VÄRNAMO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7598-2025</t>
        </is>
      </c>
      <c r="B12114" s="1" t="n">
        <v>45705</v>
      </c>
      <c r="C12114" s="1" t="n">
        <v>45716</v>
      </c>
      <c r="D12114" t="inlineStr">
        <is>
          <t>JÖNKÖPINGS LÄN</t>
        </is>
      </c>
      <c r="E12114" t="inlineStr">
        <is>
          <t>NÄSSJÖ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45716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45716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45716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45716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7657-2025</t>
        </is>
      </c>
      <c r="B12119" s="1" t="n">
        <v>45706</v>
      </c>
      <c r="C12119" s="1" t="n">
        <v>45716</v>
      </c>
      <c r="D12119" t="inlineStr">
        <is>
          <t>JÖNKÖPINGS LÄN</t>
        </is>
      </c>
      <c r="E12119" t="inlineStr">
        <is>
          <t>SÄVSJÖ</t>
        </is>
      </c>
      <c r="G12119" t="n">
        <v>0.9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7670-2025</t>
        </is>
      </c>
      <c r="B12120" s="1" t="n">
        <v>45706</v>
      </c>
      <c r="C12120" s="1" t="n">
        <v>45716</v>
      </c>
      <c r="D12120" t="inlineStr">
        <is>
          <t>JÖNKÖPINGS LÄN</t>
        </is>
      </c>
      <c r="E12120" t="inlineStr">
        <is>
          <t>VAGGERYD</t>
        </is>
      </c>
      <c r="G12120" t="n">
        <v>1.4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7677-2025</t>
        </is>
      </c>
      <c r="B12121" s="1" t="n">
        <v>45706</v>
      </c>
      <c r="C12121" s="1" t="n">
        <v>45716</v>
      </c>
      <c r="D12121" t="inlineStr">
        <is>
          <t>JÖNKÖPINGS LÄN</t>
        </is>
      </c>
      <c r="E12121" t="inlineStr">
        <is>
          <t>VAGGERYD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7690-2025</t>
        </is>
      </c>
      <c r="B12122" s="1" t="n">
        <v>45706</v>
      </c>
      <c r="C12122" s="1" t="n">
        <v>45716</v>
      </c>
      <c r="D12122" t="inlineStr">
        <is>
          <t>JÖNKÖPINGS LÄN</t>
        </is>
      </c>
      <c r="E12122" t="inlineStr">
        <is>
          <t>EKSJÖ</t>
        </is>
      </c>
      <c r="G12122" t="n">
        <v>9.1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7729-2025</t>
        </is>
      </c>
      <c r="B12123" s="1" t="n">
        <v>45706</v>
      </c>
      <c r="C12123" s="1" t="n">
        <v>45716</v>
      </c>
      <c r="D12123" t="inlineStr">
        <is>
          <t>JÖNKÖPINGS LÄN</t>
        </is>
      </c>
      <c r="E12123" t="inlineStr">
        <is>
          <t>EKSJÖ</t>
        </is>
      </c>
      <c r="G12123" t="n">
        <v>1.3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7737-2025</t>
        </is>
      </c>
      <c r="B12124" s="1" t="n">
        <v>45706</v>
      </c>
      <c r="C12124" s="1" t="n">
        <v>45716</v>
      </c>
      <c r="D12124" t="inlineStr">
        <is>
          <t>JÖNKÖPINGS LÄN</t>
        </is>
      </c>
      <c r="E12124" t="inlineStr">
        <is>
          <t>EKSJÖ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7730-2025</t>
        </is>
      </c>
      <c r="B12125" s="1" t="n">
        <v>45706</v>
      </c>
      <c r="C12125" s="1" t="n">
        <v>45716</v>
      </c>
      <c r="D12125" t="inlineStr">
        <is>
          <t>JÖNKÖPINGS LÄN</t>
        </is>
      </c>
      <c r="E12125" t="inlineStr">
        <is>
          <t>VÄRNAMO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7754-2025</t>
        </is>
      </c>
      <c r="B12126" s="1" t="n">
        <v>45706</v>
      </c>
      <c r="C12126" s="1" t="n">
        <v>45716</v>
      </c>
      <c r="D12126" t="inlineStr">
        <is>
          <t>JÖNKÖPINGS LÄN</t>
        </is>
      </c>
      <c r="E12126" t="inlineStr">
        <is>
          <t>HABO</t>
        </is>
      </c>
      <c r="G12126" t="n">
        <v>3.7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7779-2025</t>
        </is>
      </c>
      <c r="B12127" s="1" t="n">
        <v>45706</v>
      </c>
      <c r="C12127" s="1" t="n">
        <v>45716</v>
      </c>
      <c r="D12127" t="inlineStr">
        <is>
          <t>JÖNKÖPINGS LÄN</t>
        </is>
      </c>
      <c r="E12127" t="inlineStr">
        <is>
          <t>GISLAVED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7791-2025</t>
        </is>
      </c>
      <c r="B12128" s="1" t="n">
        <v>45706</v>
      </c>
      <c r="C12128" s="1" t="n">
        <v>45716</v>
      </c>
      <c r="D12128" t="inlineStr">
        <is>
          <t>JÖNKÖPINGS LÄN</t>
        </is>
      </c>
      <c r="E12128" t="inlineStr">
        <is>
          <t>SÄVSJÖ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7663-2025</t>
        </is>
      </c>
      <c r="B12129" s="1" t="n">
        <v>45706</v>
      </c>
      <c r="C12129" s="1" t="n">
        <v>45716</v>
      </c>
      <c r="D12129" t="inlineStr">
        <is>
          <t>JÖNKÖPINGS LÄN</t>
        </is>
      </c>
      <c r="E12129" t="inlineStr">
        <is>
          <t>VETLANDA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7710-2025</t>
        </is>
      </c>
      <c r="B12130" s="1" t="n">
        <v>45706</v>
      </c>
      <c r="C12130" s="1" t="n">
        <v>45716</v>
      </c>
      <c r="D12130" t="inlineStr">
        <is>
          <t>JÖNKÖPINGS LÄN</t>
        </is>
      </c>
      <c r="E12130" t="inlineStr">
        <is>
          <t>VETLANDA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45716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7740-2025</t>
        </is>
      </c>
      <c r="B12132" s="1" t="n">
        <v>45706</v>
      </c>
      <c r="C12132" s="1" t="n">
        <v>45716</v>
      </c>
      <c r="D12132" t="inlineStr">
        <is>
          <t>JÖNKÖPINGS LÄN</t>
        </is>
      </c>
      <c r="E12132" t="inlineStr">
        <is>
          <t>EKSJÖ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7723-2025</t>
        </is>
      </c>
      <c r="B12133" s="1" t="n">
        <v>45706</v>
      </c>
      <c r="C12133" s="1" t="n">
        <v>45716</v>
      </c>
      <c r="D12133" t="inlineStr">
        <is>
          <t>JÖNKÖPINGS LÄN</t>
        </is>
      </c>
      <c r="E12133" t="inlineStr">
        <is>
          <t>EKSJÖ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45716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7835-2025</t>
        </is>
      </c>
      <c r="B12135" s="1" t="n">
        <v>45706</v>
      </c>
      <c r="C12135" s="1" t="n">
        <v>45716</v>
      </c>
      <c r="D12135" t="inlineStr">
        <is>
          <t>JÖNKÖPINGS LÄN</t>
        </is>
      </c>
      <c r="E12135" t="inlineStr">
        <is>
          <t>GISLAVED</t>
        </is>
      </c>
      <c r="G12135" t="n">
        <v>0.8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7844-2025</t>
        </is>
      </c>
      <c r="B12136" s="1" t="n">
        <v>45706</v>
      </c>
      <c r="C12136" s="1" t="n">
        <v>45716</v>
      </c>
      <c r="D12136" t="inlineStr">
        <is>
          <t>JÖNKÖPINGS LÄN</t>
        </is>
      </c>
      <c r="E12136" t="inlineStr">
        <is>
          <t>GISLAVED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7852-2025</t>
        </is>
      </c>
      <c r="B12137" s="1" t="n">
        <v>45706</v>
      </c>
      <c r="C12137" s="1" t="n">
        <v>45716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7857-2025</t>
        </is>
      </c>
      <c r="B12138" s="1" t="n">
        <v>45706</v>
      </c>
      <c r="C12138" s="1" t="n">
        <v>45716</v>
      </c>
      <c r="D12138" t="inlineStr">
        <is>
          <t>JÖNKÖPINGS LÄN</t>
        </is>
      </c>
      <c r="E12138" t="inlineStr">
        <is>
          <t>JÖNKÖPING</t>
        </is>
      </c>
      <c r="F12138" t="inlineStr">
        <is>
          <t>Sveaskog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7861-2025</t>
        </is>
      </c>
      <c r="B12139" s="1" t="n">
        <v>45706</v>
      </c>
      <c r="C12139" s="1" t="n">
        <v>45716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7846-2025</t>
        </is>
      </c>
      <c r="B12140" s="1" t="n">
        <v>45706</v>
      </c>
      <c r="C12140" s="1" t="n">
        <v>45716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7847-2025</t>
        </is>
      </c>
      <c r="B12141" s="1" t="n">
        <v>45706</v>
      </c>
      <c r="C12141" s="1" t="n">
        <v>45716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7855-2025</t>
        </is>
      </c>
      <c r="B12142" s="1" t="n">
        <v>45706</v>
      </c>
      <c r="C12142" s="1" t="n">
        <v>45716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7863-2025</t>
        </is>
      </c>
      <c r="B12143" s="1" t="n">
        <v>45706</v>
      </c>
      <c r="C12143" s="1" t="n">
        <v>45716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45716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45716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7945-2025</t>
        </is>
      </c>
      <c r="B12146" s="1" t="n">
        <v>45707</v>
      </c>
      <c r="C12146" s="1" t="n">
        <v>45716</v>
      </c>
      <c r="D12146" t="inlineStr">
        <is>
          <t>JÖNKÖPINGS LÄN</t>
        </is>
      </c>
      <c r="E12146" t="inlineStr">
        <is>
          <t>ANEBY</t>
        </is>
      </c>
      <c r="G12146" t="n">
        <v>8.9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7954-2025</t>
        </is>
      </c>
      <c r="B12147" s="1" t="n">
        <v>45707</v>
      </c>
      <c r="C12147" s="1" t="n">
        <v>45716</v>
      </c>
      <c r="D12147" t="inlineStr">
        <is>
          <t>JÖNKÖPINGS LÄN</t>
        </is>
      </c>
      <c r="E12147" t="inlineStr">
        <is>
          <t>ANEBY</t>
        </is>
      </c>
      <c r="G12147" t="n">
        <v>1.6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7969-2025</t>
        </is>
      </c>
      <c r="B12148" s="1" t="n">
        <v>45707</v>
      </c>
      <c r="C12148" s="1" t="n">
        <v>45716</v>
      </c>
      <c r="D12148" t="inlineStr">
        <is>
          <t>JÖNKÖPINGS LÄN</t>
        </is>
      </c>
      <c r="E12148" t="inlineStr">
        <is>
          <t>ANEBY</t>
        </is>
      </c>
      <c r="G12148" t="n">
        <v>4.1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45716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45716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8015-2025</t>
        </is>
      </c>
      <c r="B12151" s="1" t="n">
        <v>45707</v>
      </c>
      <c r="C12151" s="1" t="n">
        <v>45716</v>
      </c>
      <c r="D12151" t="inlineStr">
        <is>
          <t>JÖNKÖPINGS LÄN</t>
        </is>
      </c>
      <c r="E12151" t="inlineStr">
        <is>
          <t>EKSJÖ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8056-2025</t>
        </is>
      </c>
      <c r="B12152" s="1" t="n">
        <v>45707</v>
      </c>
      <c r="C12152" s="1" t="n">
        <v>45716</v>
      </c>
      <c r="D12152" t="inlineStr">
        <is>
          <t>JÖNKÖPINGS LÄN</t>
        </is>
      </c>
      <c r="E12152" t="inlineStr">
        <is>
          <t>EKSJÖ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8117-2025</t>
        </is>
      </c>
      <c r="B12153" s="1" t="n">
        <v>45707</v>
      </c>
      <c r="C12153" s="1" t="n">
        <v>45716</v>
      </c>
      <c r="D12153" t="inlineStr">
        <is>
          <t>JÖNKÖPINGS LÄN</t>
        </is>
      </c>
      <c r="E12153" t="inlineStr">
        <is>
          <t>ANEBY</t>
        </is>
      </c>
      <c r="G12153" t="n">
        <v>2.3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8121-2025</t>
        </is>
      </c>
      <c r="B12154" s="1" t="n">
        <v>45707</v>
      </c>
      <c r="C12154" s="1" t="n">
        <v>45716</v>
      </c>
      <c r="D12154" t="inlineStr">
        <is>
          <t>JÖNKÖPINGS LÄN</t>
        </is>
      </c>
      <c r="E12154" t="inlineStr">
        <is>
          <t>SÄVSJÖ</t>
        </is>
      </c>
      <c r="G12154" t="n">
        <v>0.9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45716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45716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8020-2025</t>
        </is>
      </c>
      <c r="B12157" s="1" t="n">
        <v>45707</v>
      </c>
      <c r="C12157" s="1" t="n">
        <v>45716</v>
      </c>
      <c r="D12157" t="inlineStr">
        <is>
          <t>JÖNKÖPINGS LÄN</t>
        </is>
      </c>
      <c r="E12157" t="inlineStr">
        <is>
          <t>MULLSJÖ</t>
        </is>
      </c>
      <c r="G12157" t="n">
        <v>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8145-2025</t>
        </is>
      </c>
      <c r="B12158" s="1" t="n">
        <v>45708</v>
      </c>
      <c r="C12158" s="1" t="n">
        <v>45716</v>
      </c>
      <c r="D12158" t="inlineStr">
        <is>
          <t>JÖNKÖPINGS LÄN</t>
        </is>
      </c>
      <c r="E12158" t="inlineStr">
        <is>
          <t>VETLANDA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8183-2025</t>
        </is>
      </c>
      <c r="B12159" s="1" t="n">
        <v>45708</v>
      </c>
      <c r="C12159" s="1" t="n">
        <v>45716</v>
      </c>
      <c r="D12159" t="inlineStr">
        <is>
          <t>JÖNKÖPINGS LÄN</t>
        </is>
      </c>
      <c r="E12159" t="inlineStr">
        <is>
          <t>GISLAVED</t>
        </is>
      </c>
      <c r="G12159" t="n">
        <v>1.6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8217-2025</t>
        </is>
      </c>
      <c r="B12160" s="1" t="n">
        <v>45708</v>
      </c>
      <c r="C12160" s="1" t="n">
        <v>45716</v>
      </c>
      <c r="D12160" t="inlineStr">
        <is>
          <t>JÖNKÖPINGS LÄN</t>
        </is>
      </c>
      <c r="E12160" t="inlineStr">
        <is>
          <t>SÄVSJÖ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8182-2025</t>
        </is>
      </c>
      <c r="B12161" s="1" t="n">
        <v>45708</v>
      </c>
      <c r="C12161" s="1" t="n">
        <v>45716</v>
      </c>
      <c r="D12161" t="inlineStr">
        <is>
          <t>JÖNKÖPINGS LÄN</t>
        </is>
      </c>
      <c r="E12161" t="inlineStr">
        <is>
          <t>GISLAVED</t>
        </is>
      </c>
      <c r="G12161" t="n">
        <v>0.6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8262-2025</t>
        </is>
      </c>
      <c r="B12162" s="1" t="n">
        <v>45708</v>
      </c>
      <c r="C12162" s="1" t="n">
        <v>45716</v>
      </c>
      <c r="D12162" t="inlineStr">
        <is>
          <t>JÖNKÖPINGS LÄN</t>
        </is>
      </c>
      <c r="E12162" t="inlineStr">
        <is>
          <t>JÖNKÖPING</t>
        </is>
      </c>
      <c r="G12162" t="n">
        <v>0.5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8270-2025</t>
        </is>
      </c>
      <c r="B12163" s="1" t="n">
        <v>45708</v>
      </c>
      <c r="C12163" s="1" t="n">
        <v>45716</v>
      </c>
      <c r="D12163" t="inlineStr">
        <is>
          <t>JÖNKÖPINGS LÄN</t>
        </is>
      </c>
      <c r="E12163" t="inlineStr">
        <is>
          <t>JÖNKÖPING</t>
        </is>
      </c>
      <c r="G12163" t="n">
        <v>3.2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45716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8264-2025</t>
        </is>
      </c>
      <c r="B12165" s="1" t="n">
        <v>45708</v>
      </c>
      <c r="C12165" s="1" t="n">
        <v>45716</v>
      </c>
      <c r="D12165" t="inlineStr">
        <is>
          <t>JÖNKÖPINGS LÄN</t>
        </is>
      </c>
      <c r="E12165" t="inlineStr">
        <is>
          <t>JÖNKÖPING</t>
        </is>
      </c>
      <c r="G12165" t="n">
        <v>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8275-2025</t>
        </is>
      </c>
      <c r="B12166" s="1" t="n">
        <v>45708</v>
      </c>
      <c r="C12166" s="1" t="n">
        <v>45716</v>
      </c>
      <c r="D12166" t="inlineStr">
        <is>
          <t>JÖNKÖPINGS LÄN</t>
        </is>
      </c>
      <c r="E12166" t="inlineStr">
        <is>
          <t>VÄRNAMO</t>
        </is>
      </c>
      <c r="G12166" t="n">
        <v>1.3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8333-2025</t>
        </is>
      </c>
      <c r="B12167" s="1" t="n">
        <v>45708</v>
      </c>
      <c r="C12167" s="1" t="n">
        <v>45716</v>
      </c>
      <c r="D12167" t="inlineStr">
        <is>
          <t>JÖNKÖPINGS LÄN</t>
        </is>
      </c>
      <c r="E12167" t="inlineStr">
        <is>
          <t>NÄSSJÖ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8338-2025</t>
        </is>
      </c>
      <c r="B12168" s="1" t="n">
        <v>45708</v>
      </c>
      <c r="C12168" s="1" t="n">
        <v>45716</v>
      </c>
      <c r="D12168" t="inlineStr">
        <is>
          <t>JÖNKÖPINGS LÄN</t>
        </is>
      </c>
      <c r="E12168" t="inlineStr">
        <is>
          <t>ANEBY</t>
        </is>
      </c>
      <c r="G12168" t="n">
        <v>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8335-2025</t>
        </is>
      </c>
      <c r="B12169" s="1" t="n">
        <v>45708</v>
      </c>
      <c r="C12169" s="1" t="n">
        <v>45716</v>
      </c>
      <c r="D12169" t="inlineStr">
        <is>
          <t>JÖNKÖPINGS LÄN</t>
        </is>
      </c>
      <c r="E12169" t="inlineStr">
        <is>
          <t>ANEBY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8351-2025</t>
        </is>
      </c>
      <c r="B12170" s="1" t="n">
        <v>45708</v>
      </c>
      <c r="C12170" s="1" t="n">
        <v>45716</v>
      </c>
      <c r="D12170" t="inlineStr">
        <is>
          <t>JÖNKÖPINGS LÄN</t>
        </is>
      </c>
      <c r="E12170" t="inlineStr">
        <is>
          <t>NÄSSJÖ</t>
        </is>
      </c>
      <c r="G12170" t="n">
        <v>0.7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8220-2025</t>
        </is>
      </c>
      <c r="B12171" s="1" t="n">
        <v>45708</v>
      </c>
      <c r="C12171" s="1" t="n">
        <v>45716</v>
      </c>
      <c r="D12171" t="inlineStr">
        <is>
          <t>JÖNKÖPINGS LÄN</t>
        </is>
      </c>
      <c r="E12171" t="inlineStr">
        <is>
          <t>VETLANDA</t>
        </is>
      </c>
      <c r="G12171" t="n">
        <v>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45716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8461-2025</t>
        </is>
      </c>
      <c r="B12173" s="1" t="n">
        <v>45709</v>
      </c>
      <c r="C12173" s="1" t="n">
        <v>45716</v>
      </c>
      <c r="D12173" t="inlineStr">
        <is>
          <t>JÖNKÖPINGS LÄN</t>
        </is>
      </c>
      <c r="E12173" t="inlineStr">
        <is>
          <t>GISLAVED</t>
        </is>
      </c>
      <c r="F12173" t="inlineStr">
        <is>
          <t>Sveaskog</t>
        </is>
      </c>
      <c r="G12173" t="n">
        <v>1.7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8560-2025</t>
        </is>
      </c>
      <c r="B12174" s="1" t="n">
        <v>45709</v>
      </c>
      <c r="C12174" s="1" t="n">
        <v>45716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Kommuner</t>
        </is>
      </c>
      <c r="G12174" t="n">
        <v>2.5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8593-2025</t>
        </is>
      </c>
      <c r="B12175" s="1" t="n">
        <v>45709</v>
      </c>
      <c r="C12175" s="1" t="n">
        <v>45716</v>
      </c>
      <c r="D12175" t="inlineStr">
        <is>
          <t>JÖNKÖPINGS LÄN</t>
        </is>
      </c>
      <c r="E12175" t="inlineStr">
        <is>
          <t>NÄSSJÖ</t>
        </is>
      </c>
      <c r="G12175" t="n">
        <v>2.8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8503-2025</t>
        </is>
      </c>
      <c r="B12176" s="1" t="n">
        <v>45709</v>
      </c>
      <c r="C12176" s="1" t="n">
        <v>45716</v>
      </c>
      <c r="D12176" t="inlineStr">
        <is>
          <t>JÖNKÖPINGS LÄN</t>
        </is>
      </c>
      <c r="E12176" t="inlineStr">
        <is>
          <t>GISLAVED</t>
        </is>
      </c>
      <c r="F12176" t="inlineStr">
        <is>
          <t>Kommuner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8580-2025</t>
        </is>
      </c>
      <c r="B12177" s="1" t="n">
        <v>45709</v>
      </c>
      <c r="C12177" s="1" t="n">
        <v>45716</v>
      </c>
      <c r="D12177" t="inlineStr">
        <is>
          <t>JÖNKÖPINGS LÄN</t>
        </is>
      </c>
      <c r="E12177" t="inlineStr">
        <is>
          <t>VAGGERYD</t>
        </is>
      </c>
      <c r="G12177" t="n">
        <v>3.8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45716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45716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8457-2025</t>
        </is>
      </c>
      <c r="B12180" s="1" t="n">
        <v>45709</v>
      </c>
      <c r="C12180" s="1" t="n">
        <v>45716</v>
      </c>
      <c r="D12180" t="inlineStr">
        <is>
          <t>JÖNKÖPINGS LÄN</t>
        </is>
      </c>
      <c r="E12180" t="inlineStr">
        <is>
          <t>ANEBY</t>
        </is>
      </c>
      <c r="G12180" t="n">
        <v>13.1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8627-2025</t>
        </is>
      </c>
      <c r="B12181" s="1" t="n">
        <v>45711</v>
      </c>
      <c r="C12181" s="1" t="n">
        <v>45716</v>
      </c>
      <c r="D12181" t="inlineStr">
        <is>
          <t>JÖNKÖPINGS LÄN</t>
        </is>
      </c>
      <c r="E12181" t="inlineStr">
        <is>
          <t>HABO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8622-2025</t>
        </is>
      </c>
      <c r="B12182" s="1" t="n">
        <v>45711</v>
      </c>
      <c r="C12182" s="1" t="n">
        <v>45716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8625-2025</t>
        </is>
      </c>
      <c r="B12183" s="1" t="n">
        <v>45711</v>
      </c>
      <c r="C12183" s="1" t="n">
        <v>45716</v>
      </c>
      <c r="D12183" t="inlineStr">
        <is>
          <t>JÖNKÖPINGS LÄN</t>
        </is>
      </c>
      <c r="E12183" t="inlineStr">
        <is>
          <t>SÄVSJÖ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8744-2025</t>
        </is>
      </c>
      <c r="B12184" s="1" t="n">
        <v>45712</v>
      </c>
      <c r="C12184" s="1" t="n">
        <v>45716</v>
      </c>
      <c r="D12184" t="inlineStr">
        <is>
          <t>JÖNKÖPINGS LÄN</t>
        </is>
      </c>
      <c r="E12184" t="inlineStr">
        <is>
          <t>GISLAVED</t>
        </is>
      </c>
      <c r="G12184" t="n">
        <v>0.7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8719-2025</t>
        </is>
      </c>
      <c r="B12185" s="1" t="n">
        <v>45712</v>
      </c>
      <c r="C12185" s="1" t="n">
        <v>45716</v>
      </c>
      <c r="D12185" t="inlineStr">
        <is>
          <t>JÖNKÖPINGS LÄN</t>
        </is>
      </c>
      <c r="E12185" t="inlineStr">
        <is>
          <t>VÄRNAMO</t>
        </is>
      </c>
      <c r="G12185" t="n">
        <v>2.2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8999-2025</t>
        </is>
      </c>
      <c r="B12186" s="1" t="n">
        <v>45712</v>
      </c>
      <c r="C12186" s="1" t="n">
        <v>45716</v>
      </c>
      <c r="D12186" t="inlineStr">
        <is>
          <t>JÖNKÖPINGS LÄN</t>
        </is>
      </c>
      <c r="E12186" t="inlineStr">
        <is>
          <t>TRANÅS</t>
        </is>
      </c>
      <c r="G12186" t="n">
        <v>3.2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8698-2025</t>
        </is>
      </c>
      <c r="B12187" s="1" t="n">
        <v>45712</v>
      </c>
      <c r="C12187" s="1" t="n">
        <v>45716</v>
      </c>
      <c r="D12187" t="inlineStr">
        <is>
          <t>JÖNKÖPINGS LÄN</t>
        </is>
      </c>
      <c r="E12187" t="inlineStr">
        <is>
          <t>GNOSJÖ</t>
        </is>
      </c>
      <c r="G12187" t="n">
        <v>1.5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8746-2025</t>
        </is>
      </c>
      <c r="B12188" s="1" t="n">
        <v>45712</v>
      </c>
      <c r="C12188" s="1" t="n">
        <v>45716</v>
      </c>
      <c r="D12188" t="inlineStr">
        <is>
          <t>JÖNKÖPINGS LÄN</t>
        </is>
      </c>
      <c r="E12188" t="inlineStr">
        <is>
          <t>GISLAVED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8988-2025</t>
        </is>
      </c>
      <c r="B12189" s="1" t="n">
        <v>45713</v>
      </c>
      <c r="C12189" s="1" t="n">
        <v>45716</v>
      </c>
      <c r="D12189" t="inlineStr">
        <is>
          <t>JÖNKÖPINGS LÄN</t>
        </is>
      </c>
      <c r="E12189" t="inlineStr">
        <is>
          <t>NÄSSJÖ</t>
        </is>
      </c>
      <c r="G12189" t="n">
        <v>1.7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9041-2025</t>
        </is>
      </c>
      <c r="B12190" s="1" t="n">
        <v>45713</v>
      </c>
      <c r="C12190" s="1" t="n">
        <v>45716</v>
      </c>
      <c r="D12190" t="inlineStr">
        <is>
          <t>JÖNKÖPINGS LÄN</t>
        </is>
      </c>
      <c r="E12190" t="inlineStr">
        <is>
          <t>VÄRNAMO</t>
        </is>
      </c>
      <c r="F12190" t="inlineStr">
        <is>
          <t>Sveaskog</t>
        </is>
      </c>
      <c r="G12190" t="n">
        <v>3.7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9049-2025</t>
        </is>
      </c>
      <c r="B12191" s="1" t="n">
        <v>45713</v>
      </c>
      <c r="C12191" s="1" t="n">
        <v>45716</v>
      </c>
      <c r="D12191" t="inlineStr">
        <is>
          <t>JÖNKÖPINGS LÄN</t>
        </is>
      </c>
      <c r="E12191" t="inlineStr">
        <is>
          <t>VÄRNAMO</t>
        </is>
      </c>
      <c r="F12191" t="inlineStr">
        <is>
          <t>Sveaskog</t>
        </is>
      </c>
      <c r="G12191" t="n">
        <v>1.6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9100-2025</t>
        </is>
      </c>
      <c r="B12192" s="1" t="n">
        <v>45713</v>
      </c>
      <c r="C12192" s="1" t="n">
        <v>45716</v>
      </c>
      <c r="D12192" t="inlineStr">
        <is>
          <t>JÖNKÖPINGS LÄN</t>
        </is>
      </c>
      <c r="E12192" t="inlineStr">
        <is>
          <t>VÄRNAMO</t>
        </is>
      </c>
      <c r="G12192" t="n">
        <v>1.3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8933-2025</t>
        </is>
      </c>
      <c r="B12193" s="1" t="n">
        <v>45713</v>
      </c>
      <c r="C12193" s="1" t="n">
        <v>45716</v>
      </c>
      <c r="D12193" t="inlineStr">
        <is>
          <t>JÖNKÖPINGS LÄN</t>
        </is>
      </c>
      <c r="E12193" t="inlineStr">
        <is>
          <t>VÄRNAMO</t>
        </is>
      </c>
      <c r="G12193" t="n">
        <v>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8985-2025</t>
        </is>
      </c>
      <c r="B12194" s="1" t="n">
        <v>45713</v>
      </c>
      <c r="C12194" s="1" t="n">
        <v>45716</v>
      </c>
      <c r="D12194" t="inlineStr">
        <is>
          <t>JÖNKÖPINGS LÄN</t>
        </is>
      </c>
      <c r="E12194" t="inlineStr">
        <is>
          <t>NÄSSJÖ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9038-2025</t>
        </is>
      </c>
      <c r="B12195" s="1" t="n">
        <v>45713</v>
      </c>
      <c r="C12195" s="1" t="n">
        <v>45716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3.8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9042-2025</t>
        </is>
      </c>
      <c r="B12196" s="1" t="n">
        <v>45713</v>
      </c>
      <c r="C12196" s="1" t="n">
        <v>45716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9046-2025</t>
        </is>
      </c>
      <c r="B12197" s="1" t="n">
        <v>45713</v>
      </c>
      <c r="C12197" s="1" t="n">
        <v>45716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4.3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9068-2025</t>
        </is>
      </c>
      <c r="B12198" s="1" t="n">
        <v>45713</v>
      </c>
      <c r="C12198" s="1" t="n">
        <v>45716</v>
      </c>
      <c r="D12198" t="inlineStr">
        <is>
          <t>JÖNKÖPINGS LÄN</t>
        </is>
      </c>
      <c r="E12198" t="inlineStr">
        <is>
          <t>NÄSSJÖ</t>
        </is>
      </c>
      <c r="G12198" t="n">
        <v>2.4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8923-2025</t>
        </is>
      </c>
      <c r="B12199" s="1" t="n">
        <v>45713</v>
      </c>
      <c r="C12199" s="1" t="n">
        <v>45716</v>
      </c>
      <c r="D12199" t="inlineStr">
        <is>
          <t>JÖNKÖPINGS LÄN</t>
        </is>
      </c>
      <c r="E12199" t="inlineStr">
        <is>
          <t>EKSJÖ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9047-2025</t>
        </is>
      </c>
      <c r="B12200" s="1" t="n">
        <v>45713</v>
      </c>
      <c r="C12200" s="1" t="n">
        <v>45716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1.5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9085-2025</t>
        </is>
      </c>
      <c r="B12201" s="1" t="n">
        <v>45713</v>
      </c>
      <c r="C12201" s="1" t="n">
        <v>45716</v>
      </c>
      <c r="D12201" t="inlineStr">
        <is>
          <t>JÖNKÖPINGS LÄN</t>
        </is>
      </c>
      <c r="E12201" t="inlineStr">
        <is>
          <t>NÄSSJÖ</t>
        </is>
      </c>
      <c r="G12201" t="n">
        <v>10.6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9122-2025</t>
        </is>
      </c>
      <c r="B12202" s="1" t="n">
        <v>45713</v>
      </c>
      <c r="C12202" s="1" t="n">
        <v>45716</v>
      </c>
      <c r="D12202" t="inlineStr">
        <is>
          <t>JÖNKÖPINGS LÄN</t>
        </is>
      </c>
      <c r="E12202" t="inlineStr">
        <is>
          <t>VETLANDA</t>
        </is>
      </c>
      <c r="G12202" t="n">
        <v>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9229-2025</t>
        </is>
      </c>
      <c r="B12203" s="1" t="n">
        <v>45713</v>
      </c>
      <c r="C12203" s="1" t="n">
        <v>45716</v>
      </c>
      <c r="D12203" t="inlineStr">
        <is>
          <t>JÖNKÖPINGS LÄN</t>
        </is>
      </c>
      <c r="E12203" t="inlineStr">
        <is>
          <t>TRANÅS</t>
        </is>
      </c>
      <c r="G12203" t="n">
        <v>2.1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8997-2025</t>
        </is>
      </c>
      <c r="B12204" s="1" t="n">
        <v>45713</v>
      </c>
      <c r="C12204" s="1" t="n">
        <v>45716</v>
      </c>
      <c r="D12204" t="inlineStr">
        <is>
          <t>JÖNKÖPINGS LÄN</t>
        </is>
      </c>
      <c r="E12204" t="inlineStr">
        <is>
          <t>NÄSSJÖ</t>
        </is>
      </c>
      <c r="G12204" t="n">
        <v>5.8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9040-2025</t>
        </is>
      </c>
      <c r="B12205" s="1" t="n">
        <v>45713</v>
      </c>
      <c r="C12205" s="1" t="n">
        <v>45716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6.4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9048-2025</t>
        </is>
      </c>
      <c r="B12206" s="1" t="n">
        <v>45713</v>
      </c>
      <c r="C12206" s="1" t="n">
        <v>45716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3.6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9173-2025</t>
        </is>
      </c>
      <c r="B12207" s="1" t="n">
        <v>45714</v>
      </c>
      <c r="C12207" s="1" t="n">
        <v>45716</v>
      </c>
      <c r="D12207" t="inlineStr">
        <is>
          <t>JÖNKÖPINGS LÄN</t>
        </is>
      </c>
      <c r="E12207" t="inlineStr">
        <is>
          <t>GISLAVED</t>
        </is>
      </c>
      <c r="G12207" t="n">
        <v>1.9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9283-2025</t>
        </is>
      </c>
      <c r="B12208" s="1" t="n">
        <v>45714</v>
      </c>
      <c r="C12208" s="1" t="n">
        <v>45716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3.1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9240-2025</t>
        </is>
      </c>
      <c r="B12209" s="1" t="n">
        <v>45714</v>
      </c>
      <c r="C12209" s="1" t="n">
        <v>45716</v>
      </c>
      <c r="D12209" t="inlineStr">
        <is>
          <t>JÖNKÖPINGS LÄN</t>
        </is>
      </c>
      <c r="E12209" t="inlineStr">
        <is>
          <t>VÄRNAMO</t>
        </is>
      </c>
      <c r="G12209" t="n">
        <v>1.2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9292-2025</t>
        </is>
      </c>
      <c r="B12210" s="1" t="n">
        <v>45714</v>
      </c>
      <c r="C12210" s="1" t="n">
        <v>45716</v>
      </c>
      <c r="D12210" t="inlineStr">
        <is>
          <t>JÖNKÖPINGS LÄN</t>
        </is>
      </c>
      <c r="E12210" t="inlineStr">
        <is>
          <t>EKSJÖ</t>
        </is>
      </c>
      <c r="F12210" t="inlineStr">
        <is>
          <t>Sveaskog</t>
        </is>
      </c>
      <c r="G12210" t="n">
        <v>2.2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9297-2025</t>
        </is>
      </c>
      <c r="B12211" s="1" t="n">
        <v>45714</v>
      </c>
      <c r="C12211" s="1" t="n">
        <v>45716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6.1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9294-2025</t>
        </is>
      </c>
      <c r="B12212" s="1" t="n">
        <v>45714</v>
      </c>
      <c r="C12212" s="1" t="n">
        <v>45716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3.6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9287-2025</t>
        </is>
      </c>
      <c r="B12213" s="1" t="n">
        <v>45714</v>
      </c>
      <c r="C12213" s="1" t="n">
        <v>45716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1.7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9300-2025</t>
        </is>
      </c>
      <c r="B12214" s="1" t="n">
        <v>45714</v>
      </c>
      <c r="C12214" s="1" t="n">
        <v>45716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0.9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9373-2025</t>
        </is>
      </c>
      <c r="B12215" s="1" t="n">
        <v>45715</v>
      </c>
      <c r="C12215" s="1" t="n">
        <v>45716</v>
      </c>
      <c r="D12215" t="inlineStr">
        <is>
          <t>JÖNKÖPINGS LÄN</t>
        </is>
      </c>
      <c r="E12215" t="inlineStr">
        <is>
          <t>SÄVSJÖ</t>
        </is>
      </c>
      <c r="G12215" t="n">
        <v>2.4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9385-2025</t>
        </is>
      </c>
      <c r="B12216" s="1" t="n">
        <v>45715</v>
      </c>
      <c r="C12216" s="1" t="n">
        <v>45716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1.9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9398-2025</t>
        </is>
      </c>
      <c r="B12217" s="1" t="n">
        <v>45715</v>
      </c>
      <c r="C12217" s="1" t="n">
        <v>45716</v>
      </c>
      <c r="D12217" t="inlineStr">
        <is>
          <t>JÖNKÖPINGS LÄN</t>
        </is>
      </c>
      <c r="E12217" t="inlineStr">
        <is>
          <t>GISLAVED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9363-2025</t>
        </is>
      </c>
      <c r="B12218" s="1" t="n">
        <v>45715</v>
      </c>
      <c r="C12218" s="1" t="n">
        <v>45716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9400-2025</t>
        </is>
      </c>
      <c r="B12219" s="1" t="n">
        <v>45715</v>
      </c>
      <c r="C12219" s="1" t="n">
        <v>45716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4.6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9404-2025</t>
        </is>
      </c>
      <c r="B12220" s="1" t="n">
        <v>45715</v>
      </c>
      <c r="C12220" s="1" t="n">
        <v>45716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9364-2025</t>
        </is>
      </c>
      <c r="B12221" s="1" t="n">
        <v>45715</v>
      </c>
      <c r="C12221" s="1" t="n">
        <v>45716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5.1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9368-2025</t>
        </is>
      </c>
      <c r="B12222" s="1" t="n">
        <v>45715</v>
      </c>
      <c r="C12222" s="1" t="n">
        <v>45716</v>
      </c>
      <c r="D12222" t="inlineStr">
        <is>
          <t>JÖNKÖPINGS LÄN</t>
        </is>
      </c>
      <c r="E12222" t="inlineStr">
        <is>
          <t>SÄVSJÖ</t>
        </is>
      </c>
      <c r="G12222" t="n">
        <v>2.1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9429-2025</t>
        </is>
      </c>
      <c r="B12223" s="1" t="n">
        <v>45715</v>
      </c>
      <c r="C12223" s="1" t="n">
        <v>45716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5.1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9484-2025</t>
        </is>
      </c>
      <c r="B12224" s="1" t="n">
        <v>45715</v>
      </c>
      <c r="C12224" s="1" t="n">
        <v>45716</v>
      </c>
      <c r="D12224" t="inlineStr">
        <is>
          <t>JÖNKÖPINGS LÄN</t>
        </is>
      </c>
      <c r="E12224" t="inlineStr">
        <is>
          <t>VETLANDA</t>
        </is>
      </c>
      <c r="G12224" t="n">
        <v>2.7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9604-2025</t>
        </is>
      </c>
      <c r="B12225" s="1" t="n">
        <v>45715</v>
      </c>
      <c r="C12225" s="1" t="n">
        <v>45716</v>
      </c>
      <c r="D12225" t="inlineStr">
        <is>
          <t>JÖNKÖPINGS LÄN</t>
        </is>
      </c>
      <c r="E12225" t="inlineStr">
        <is>
          <t>JÖNKÖPING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9366-2025</t>
        </is>
      </c>
      <c r="B12226" s="1" t="n">
        <v>45715</v>
      </c>
      <c r="C12226" s="1" t="n">
        <v>45716</v>
      </c>
      <c r="D12226" t="inlineStr">
        <is>
          <t>JÖNKÖPINGS LÄN</t>
        </is>
      </c>
      <c r="E12226" t="inlineStr">
        <is>
          <t>SÄVSJÖ</t>
        </is>
      </c>
      <c r="G12226" t="n">
        <v>1.6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9370-2025</t>
        </is>
      </c>
      <c r="B12227" s="1" t="n">
        <v>45715</v>
      </c>
      <c r="C12227" s="1" t="n">
        <v>45716</v>
      </c>
      <c r="D12227" t="inlineStr">
        <is>
          <t>JÖNKÖPINGS LÄN</t>
        </is>
      </c>
      <c r="E12227" t="inlineStr">
        <is>
          <t>GISLAVED</t>
        </is>
      </c>
      <c r="G12227" t="n">
        <v>2.2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>
      <c r="A12228" t="inlineStr">
        <is>
          <t>A 9485-2025</t>
        </is>
      </c>
      <c r="B12228" s="1" t="n">
        <v>45715</v>
      </c>
      <c r="C12228" s="1" t="n">
        <v>45716</v>
      </c>
      <c r="D12228" t="inlineStr">
        <is>
          <t>JÖNKÖPINGS LÄN</t>
        </is>
      </c>
      <c r="E12228" t="inlineStr">
        <is>
          <t>VETLANDA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2025-02-28T15:55:24Z</dcterms:created>
  <dcterms:modified xmlns:dcterms="http://purl.org/dc/terms/" xmlns:xsi="http://www.w3.org/2001/XMLSchema-instance" xsi:type="dcterms:W3CDTF">2025-02-28T15:55:35Z</dcterms:modified>
</cp:coreProperties>
</file>