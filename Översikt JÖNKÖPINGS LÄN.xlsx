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45828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45828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45828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45828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45828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45828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45828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45828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45828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45828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45828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45828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45828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45828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45828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45828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45828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45828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45828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45828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45828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45828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45828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45828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45828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45828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45828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45828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45828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45828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45828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45828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45828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45828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45828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45828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45828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45828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45828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45828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45828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45828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45828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45828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45828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45828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45828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45828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45828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45828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45828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45828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45828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45828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45828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45828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45828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45828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45828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45828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45828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45828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45828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45828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45828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45828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45828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45828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45828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45828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45828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45828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45828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45828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45828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45828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45828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45828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45828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45828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45828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45828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45828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45828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45828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45828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45828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45828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45828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45828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45828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45828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45828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45828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45828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45828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45828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45828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45828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45828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45828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45828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45828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45828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45828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45828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45828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45828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45828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45828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45828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45828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45828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45828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45828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45828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45828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45828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45828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45828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45828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45828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45828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45828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45828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45828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45828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45828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45828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45828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45828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45828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45828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45828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45828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45828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45828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45828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45828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45828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45828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45828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45828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45828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45828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45828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45828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45828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45828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45828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45828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45828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45828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45828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45828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45828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45828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45828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45828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45828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45828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45828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45828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45828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45828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45828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45828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45828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45828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45828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45828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45828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45828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45828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45828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45828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45828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45828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45828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45828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45828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45828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45828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45828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45828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45828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45828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45828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45828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45828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45828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45828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45828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45828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45828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45828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45828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45828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45828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45828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45828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45828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45828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45828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45828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45828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45828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45828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45828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45828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45828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45828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45828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45828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45828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45828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45828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45828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45828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45828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45828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45828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45828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45828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45828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45828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45828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45828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45828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45828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45828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45828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45828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45828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45828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45828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45828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45828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45828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45828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45828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45828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45828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45828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45828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45828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45828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45828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45828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45828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45828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45828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45828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45828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45828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45828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45828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45828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45828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45828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45828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45828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45828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45828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45828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45828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45828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45828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45828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45828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45828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45828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45828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45828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45828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45828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45828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45828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45828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45828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45828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45828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45828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45828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45828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45828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45828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45828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45828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45828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45828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45828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45828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45828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45828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45828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45828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45828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45828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45828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45828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45828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45828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45828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45828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45828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45828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45828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45828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45828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45828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45828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45828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45828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45828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45828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45828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45828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45828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45828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45828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45828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45828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45828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45828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45828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45828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45828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45828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45828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45828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45828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45828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45828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45828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45828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45828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45828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45828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45828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45828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45828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45828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45828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45828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45828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45828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45828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45828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45828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45828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45828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45828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45828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45828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45828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45828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45828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45828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45828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45828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45828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45828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45828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45828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45828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45828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45828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45828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45828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45828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45828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45828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45828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45828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45828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45828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45828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45828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45828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45828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45828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45828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45828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45828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45828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45828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45828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45828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45828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45828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45828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45828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45828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45828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45828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45828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45828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45828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45828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45828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45828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45828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45828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45828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45828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45828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45828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45828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45828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45828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45828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45828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45828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45828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45828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45828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45828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45828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45828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45828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45828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45828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45828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45828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45828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45828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45828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45828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45828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45828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45828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45828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45828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45828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45828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45828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45828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45828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45828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45828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45828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45828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45828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45828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45828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45828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45828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45828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45828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45828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45828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45828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45828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45828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45828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45828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45828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45828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45828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45828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45828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45828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45828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45828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45828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45828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45828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45828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45828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45828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45828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45828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45828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45828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45828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45828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45828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45828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45828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45828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45828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45828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45828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45828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45828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45828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45828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45828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45828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45828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45828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45828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45828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45828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45828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45828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45828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45828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45828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45828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45828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45828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45828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45828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45828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45828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45828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45828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45828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45828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45828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45828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45828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45828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45828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45828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45828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45828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29498-2025</t>
        </is>
      </c>
      <c r="B546" s="1" t="n">
        <v>45825</v>
      </c>
      <c r="C546" s="1" t="n">
        <v>45828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Kransrams</t>
        </is>
      </c>
      <c r="S546">
        <f>HYPERLINK("https://klasma.github.io/Logging_060684/artfynd/A 29498-2025 artfynd.xlsx", "A 29498-2025")</f>
        <v/>
      </c>
      <c r="T546">
        <f>HYPERLINK("https://klasma.github.io/Logging_060684/kartor/A 29498-2025 karta.png", "A 29498-2025")</f>
        <v/>
      </c>
      <c r="V546">
        <f>HYPERLINK("https://klasma.github.io/Logging_060684/klagomål/A 29498-2025 FSC-klagomål.docx", "A 29498-2025")</f>
        <v/>
      </c>
      <c r="W546">
        <f>HYPERLINK("https://klasma.github.io/Logging_060684/klagomålsmail/A 29498-2025 FSC-klagomål mail.docx", "A 29498-2025")</f>
        <v/>
      </c>
      <c r="X546">
        <f>HYPERLINK("https://klasma.github.io/Logging_060684/tillsyn/A 29498-2025 tillsynsbegäran.docx", "A 29498-2025")</f>
        <v/>
      </c>
      <c r="Y546">
        <f>HYPERLINK("https://klasma.github.io/Logging_060684/tillsynsmail/A 29498-2025 tillsynsbegäran mail.docx", "A 29498-2025")</f>
        <v/>
      </c>
    </row>
    <row r="547" ht="15" customHeight="1">
      <c r="A547" t="inlineStr">
        <is>
          <t>A 17647-2019</t>
        </is>
      </c>
      <c r="B547" s="1" t="n">
        <v>43556</v>
      </c>
      <c r="C547" s="1" t="n">
        <v>45828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17760-2019</t>
        </is>
      </c>
      <c r="B548" s="1" t="n">
        <v>43556</v>
      </c>
      <c r="C548" s="1" t="n">
        <v>45828</v>
      </c>
      <c r="D548" t="inlineStr">
        <is>
          <t>JÖNKÖPINGS LÄN</t>
        </is>
      </c>
      <c r="E548" t="inlineStr">
        <is>
          <t>VAGGERYD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17769-2019</t>
        </is>
      </c>
      <c r="B549" s="1" t="n">
        <v>43556</v>
      </c>
      <c r="C549" s="1" t="n">
        <v>45828</v>
      </c>
      <c r="D549" t="inlineStr">
        <is>
          <t>JÖNKÖPINGS LÄN</t>
        </is>
      </c>
      <c r="E549" t="inlineStr">
        <is>
          <t>TRANÅS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17736-2019</t>
        </is>
      </c>
      <c r="B550" s="1" t="n">
        <v>43556</v>
      </c>
      <c r="C550" s="1" t="n">
        <v>45828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17727-2019</t>
        </is>
      </c>
      <c r="B551" s="1" t="n">
        <v>43556</v>
      </c>
      <c r="C551" s="1" t="n">
        <v>45828</v>
      </c>
      <c r="D551" t="inlineStr">
        <is>
          <t>JÖNKÖPINGS LÄN</t>
        </is>
      </c>
      <c r="E551" t="inlineStr">
        <is>
          <t>GISLAVED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18145-2019</t>
        </is>
      </c>
      <c r="B552" s="1" t="n">
        <v>43556</v>
      </c>
      <c r="C552" s="1" t="n">
        <v>45828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17658-2019</t>
        </is>
      </c>
      <c r="B553" s="1" t="n">
        <v>43556</v>
      </c>
      <c r="C553" s="1" t="n">
        <v>45828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17918-2019</t>
        </is>
      </c>
      <c r="B554" s="1" t="n">
        <v>43557</v>
      </c>
      <c r="C554" s="1" t="n">
        <v>45828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17981-2019</t>
        </is>
      </c>
      <c r="B555" s="1" t="n">
        <v>43557</v>
      </c>
      <c r="C555" s="1" t="n">
        <v>45828</v>
      </c>
      <c r="D555" t="inlineStr">
        <is>
          <t>JÖNKÖPINGS LÄN</t>
        </is>
      </c>
      <c r="E555" t="inlineStr">
        <is>
          <t>VÄRNAMO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17903-2019</t>
        </is>
      </c>
      <c r="B556" s="1" t="n">
        <v>43557</v>
      </c>
      <c r="C556" s="1" t="n">
        <v>45828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18283-2019</t>
        </is>
      </c>
      <c r="B557" s="1" t="n">
        <v>43557</v>
      </c>
      <c r="C557" s="1" t="n">
        <v>45828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17902-2019</t>
        </is>
      </c>
      <c r="B558" s="1" t="n">
        <v>43557</v>
      </c>
      <c r="C558" s="1" t="n">
        <v>45828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18379-2019</t>
        </is>
      </c>
      <c r="B559" s="1" t="n">
        <v>43557</v>
      </c>
      <c r="C559" s="1" t="n">
        <v>45828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17924-2019</t>
        </is>
      </c>
      <c r="B560" s="1" t="n">
        <v>43557</v>
      </c>
      <c r="C560" s="1" t="n">
        <v>45828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18185-2019</t>
        </is>
      </c>
      <c r="B561" s="1" t="n">
        <v>43558</v>
      </c>
      <c r="C561" s="1" t="n">
        <v>45828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18491-2019</t>
        </is>
      </c>
      <c r="B562" s="1" t="n">
        <v>43558</v>
      </c>
      <c r="C562" s="1" t="n">
        <v>45828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18312-2019</t>
        </is>
      </c>
      <c r="B563" s="1" t="n">
        <v>43559</v>
      </c>
      <c r="C563" s="1" t="n">
        <v>45828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18559-2019</t>
        </is>
      </c>
      <c r="B564" s="1" t="n">
        <v>43559</v>
      </c>
      <c r="C564" s="1" t="n">
        <v>45828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18733-2019</t>
        </is>
      </c>
      <c r="B565" s="1" t="n">
        <v>43560</v>
      </c>
      <c r="C565" s="1" t="n">
        <v>45828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18587-2019</t>
        </is>
      </c>
      <c r="B566" s="1" t="n">
        <v>43560</v>
      </c>
      <c r="C566" s="1" t="n">
        <v>45828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18613-2019</t>
        </is>
      </c>
      <c r="B567" s="1" t="n">
        <v>43560</v>
      </c>
      <c r="C567" s="1" t="n">
        <v>45828</v>
      </c>
      <c r="D567" t="inlineStr">
        <is>
          <t>JÖNKÖPINGS LÄN</t>
        </is>
      </c>
      <c r="E567" t="inlineStr">
        <is>
          <t>SÄVSJÖ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18709-2019</t>
        </is>
      </c>
      <c r="B568" s="1" t="n">
        <v>43560</v>
      </c>
      <c r="C568" s="1" t="n">
        <v>45828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18794-2019</t>
        </is>
      </c>
      <c r="B569" s="1" t="n">
        <v>43562</v>
      </c>
      <c r="C569" s="1" t="n">
        <v>45828</v>
      </c>
      <c r="D569" t="inlineStr">
        <is>
          <t>JÖNKÖPINGS LÄN</t>
        </is>
      </c>
      <c r="E569" t="inlineStr">
        <is>
          <t>NÄSSJÖ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18818-2019</t>
        </is>
      </c>
      <c r="B570" s="1" t="n">
        <v>43563</v>
      </c>
      <c r="C570" s="1" t="n">
        <v>45828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18991-2019</t>
        </is>
      </c>
      <c r="B571" s="1" t="n">
        <v>43563</v>
      </c>
      <c r="C571" s="1" t="n">
        <v>45828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19113-2019</t>
        </is>
      </c>
      <c r="B572" s="1" t="n">
        <v>43563</v>
      </c>
      <c r="C572" s="1" t="n">
        <v>45828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18854-2019</t>
        </is>
      </c>
      <c r="B573" s="1" t="n">
        <v>43563</v>
      </c>
      <c r="C573" s="1" t="n">
        <v>45828</v>
      </c>
      <c r="D573" t="inlineStr">
        <is>
          <t>JÖNKÖPINGS LÄN</t>
        </is>
      </c>
      <c r="E573" t="inlineStr">
        <is>
          <t>ANEBY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18973-2019</t>
        </is>
      </c>
      <c r="B574" s="1" t="n">
        <v>43563</v>
      </c>
      <c r="C574" s="1" t="n">
        <v>45828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19140-2019</t>
        </is>
      </c>
      <c r="B575" s="1" t="n">
        <v>43564</v>
      </c>
      <c r="C575" s="1" t="n">
        <v>45828</v>
      </c>
      <c r="D575" t="inlineStr">
        <is>
          <t>JÖNKÖPINGS LÄN</t>
        </is>
      </c>
      <c r="E575" t="inlineStr">
        <is>
          <t>GNOSJÖ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19090-2019</t>
        </is>
      </c>
      <c r="B576" s="1" t="n">
        <v>43564</v>
      </c>
      <c r="C576" s="1" t="n">
        <v>45828</v>
      </c>
      <c r="D576" t="inlineStr">
        <is>
          <t>JÖNKÖPINGS LÄN</t>
        </is>
      </c>
      <c r="E576" t="inlineStr">
        <is>
          <t>TRANÅS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19085-2019</t>
        </is>
      </c>
      <c r="B577" s="1" t="n">
        <v>43564</v>
      </c>
      <c r="C577" s="1" t="n">
        <v>45828</v>
      </c>
      <c r="D577" t="inlineStr">
        <is>
          <t>JÖNKÖPINGS LÄN</t>
        </is>
      </c>
      <c r="E577" t="inlineStr">
        <is>
          <t>ANEBY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19134-2019</t>
        </is>
      </c>
      <c r="B578" s="1" t="n">
        <v>43564</v>
      </c>
      <c r="C578" s="1" t="n">
        <v>45828</v>
      </c>
      <c r="D578" t="inlineStr">
        <is>
          <t>JÖNKÖPINGS LÄN</t>
        </is>
      </c>
      <c r="E578" t="inlineStr">
        <is>
          <t>VAGGERYD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19279-2019</t>
        </is>
      </c>
      <c r="B579" s="1" t="n">
        <v>43565</v>
      </c>
      <c r="C579" s="1" t="n">
        <v>45828</v>
      </c>
      <c r="D579" t="inlineStr">
        <is>
          <t>JÖNKÖPINGS LÄN</t>
        </is>
      </c>
      <c r="E579" t="inlineStr">
        <is>
          <t>HABO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19409-2019</t>
        </is>
      </c>
      <c r="B580" s="1" t="n">
        <v>43565</v>
      </c>
      <c r="C580" s="1" t="n">
        <v>45828</v>
      </c>
      <c r="D580" t="inlineStr">
        <is>
          <t>JÖNKÖPINGS LÄN</t>
        </is>
      </c>
      <c r="E580" t="inlineStr">
        <is>
          <t>VAGGERYD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19481-2019</t>
        </is>
      </c>
      <c r="B581" s="1" t="n">
        <v>43565</v>
      </c>
      <c r="C581" s="1" t="n">
        <v>45828</v>
      </c>
      <c r="D581" t="inlineStr">
        <is>
          <t>JÖNKÖPINGS LÄN</t>
        </is>
      </c>
      <c r="E581" t="inlineStr">
        <is>
          <t>TRANÅS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19471-2019</t>
        </is>
      </c>
      <c r="B582" s="1" t="n">
        <v>43565</v>
      </c>
      <c r="C582" s="1" t="n">
        <v>45828</v>
      </c>
      <c r="D582" t="inlineStr">
        <is>
          <t>JÖNKÖPINGS LÄN</t>
        </is>
      </c>
      <c r="E582" t="inlineStr">
        <is>
          <t>TRANÅS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19416-2019</t>
        </is>
      </c>
      <c r="B583" s="1" t="n">
        <v>43565</v>
      </c>
      <c r="C583" s="1" t="n">
        <v>45828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19369-2019</t>
        </is>
      </c>
      <c r="B584" s="1" t="n">
        <v>43565</v>
      </c>
      <c r="C584" s="1" t="n">
        <v>45828</v>
      </c>
      <c r="D584" t="inlineStr">
        <is>
          <t>JÖNKÖPINGS LÄN</t>
        </is>
      </c>
      <c r="E584" t="inlineStr">
        <is>
          <t>VAGGERYD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19600-2019</t>
        </is>
      </c>
      <c r="B585" s="1" t="n">
        <v>43566</v>
      </c>
      <c r="C585" s="1" t="n">
        <v>45828</v>
      </c>
      <c r="D585" t="inlineStr">
        <is>
          <t>JÖNKÖPINGS LÄN</t>
        </is>
      </c>
      <c r="E585" t="inlineStr">
        <is>
          <t>VETLANDA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19673-2019</t>
        </is>
      </c>
      <c r="B586" s="1" t="n">
        <v>43566</v>
      </c>
      <c r="C586" s="1" t="n">
        <v>45828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19605-2019</t>
        </is>
      </c>
      <c r="B587" s="1" t="n">
        <v>43566</v>
      </c>
      <c r="C587" s="1" t="n">
        <v>45828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19984-2019</t>
        </is>
      </c>
      <c r="B588" s="1" t="n">
        <v>43566</v>
      </c>
      <c r="C588" s="1" t="n">
        <v>45828</v>
      </c>
      <c r="D588" t="inlineStr">
        <is>
          <t>JÖNKÖPINGS LÄN</t>
        </is>
      </c>
      <c r="E588" t="inlineStr">
        <is>
          <t>SÄVSJÖ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19772-2019</t>
        </is>
      </c>
      <c r="B589" s="1" t="n">
        <v>43567</v>
      </c>
      <c r="C589" s="1" t="n">
        <v>45828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19806-2019</t>
        </is>
      </c>
      <c r="B590" s="1" t="n">
        <v>43567</v>
      </c>
      <c r="C590" s="1" t="n">
        <v>45828</v>
      </c>
      <c r="D590" t="inlineStr">
        <is>
          <t>JÖNKÖPINGS LÄN</t>
        </is>
      </c>
      <c r="E590" t="inlineStr">
        <is>
          <t>VAGGERYD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19911-2019</t>
        </is>
      </c>
      <c r="B591" s="1" t="n">
        <v>43567</v>
      </c>
      <c r="C591" s="1" t="n">
        <v>45828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19893-2019</t>
        </is>
      </c>
      <c r="B592" s="1" t="n">
        <v>43567</v>
      </c>
      <c r="C592" s="1" t="n">
        <v>45828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20241-2019</t>
        </is>
      </c>
      <c r="B593" s="1" t="n">
        <v>43567</v>
      </c>
      <c r="C593" s="1" t="n">
        <v>45828</v>
      </c>
      <c r="D593" t="inlineStr">
        <is>
          <t>JÖNKÖPINGS LÄN</t>
        </is>
      </c>
      <c r="E593" t="inlineStr">
        <is>
          <t>GISLAVED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19939-2019</t>
        </is>
      </c>
      <c r="B594" s="1" t="n">
        <v>43568</v>
      </c>
      <c r="C594" s="1" t="n">
        <v>45828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20147-2019</t>
        </is>
      </c>
      <c r="B595" s="1" t="n">
        <v>43570</v>
      </c>
      <c r="C595" s="1" t="n">
        <v>45828</v>
      </c>
      <c r="D595" t="inlineStr">
        <is>
          <t>JÖNKÖPINGS LÄN</t>
        </is>
      </c>
      <c r="E595" t="inlineStr">
        <is>
          <t>HABO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20383-2019</t>
        </is>
      </c>
      <c r="B596" s="1" t="n">
        <v>43571</v>
      </c>
      <c r="C596" s="1" t="n">
        <v>45828</v>
      </c>
      <c r="D596" t="inlineStr">
        <is>
          <t>JÖNKÖPINGS LÄN</t>
        </is>
      </c>
      <c r="E596" t="inlineStr">
        <is>
          <t>NÄSSJÖ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20267-2019</t>
        </is>
      </c>
      <c r="B597" s="1" t="n">
        <v>43571</v>
      </c>
      <c r="C597" s="1" t="n">
        <v>45828</v>
      </c>
      <c r="D597" t="inlineStr">
        <is>
          <t>JÖNKÖPINGS LÄN</t>
        </is>
      </c>
      <c r="E597" t="inlineStr">
        <is>
          <t>SÄVSJÖ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20279-2019</t>
        </is>
      </c>
      <c r="B598" s="1" t="n">
        <v>43571</v>
      </c>
      <c r="C598" s="1" t="n">
        <v>45828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20261-2019</t>
        </is>
      </c>
      <c r="B599" s="1" t="n">
        <v>43571</v>
      </c>
      <c r="C599" s="1" t="n">
        <v>45828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20325-2019</t>
        </is>
      </c>
      <c r="B600" s="1" t="n">
        <v>43571</v>
      </c>
      <c r="C600" s="1" t="n">
        <v>45828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20276-2019</t>
        </is>
      </c>
      <c r="B601" s="1" t="n">
        <v>43571</v>
      </c>
      <c r="C601" s="1" t="n">
        <v>45828</v>
      </c>
      <c r="D601" t="inlineStr">
        <is>
          <t>JÖNKÖPINGS LÄN</t>
        </is>
      </c>
      <c r="E601" t="inlineStr">
        <is>
          <t>SÄVSJÖ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20500-2019</t>
        </is>
      </c>
      <c r="B602" s="1" t="n">
        <v>43572</v>
      </c>
      <c r="C602" s="1" t="n">
        <v>45828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20594-2019</t>
        </is>
      </c>
      <c r="B603" s="1" t="n">
        <v>43572</v>
      </c>
      <c r="C603" s="1" t="n">
        <v>45828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20527-2019</t>
        </is>
      </c>
      <c r="B604" s="1" t="n">
        <v>43572</v>
      </c>
      <c r="C604" s="1" t="n">
        <v>45828</v>
      </c>
      <c r="D604" t="inlineStr">
        <is>
          <t>JÖNKÖPINGS LÄN</t>
        </is>
      </c>
      <c r="E604" t="inlineStr">
        <is>
          <t>ANEBY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20766-2019</t>
        </is>
      </c>
      <c r="B605" s="1" t="n">
        <v>43573</v>
      </c>
      <c r="C605" s="1" t="n">
        <v>45828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20814-2019</t>
        </is>
      </c>
      <c r="B606" s="1" t="n">
        <v>43573</v>
      </c>
      <c r="C606" s="1" t="n">
        <v>45828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20746-2019</t>
        </is>
      </c>
      <c r="B607" s="1" t="n">
        <v>43573</v>
      </c>
      <c r="C607" s="1" t="n">
        <v>45828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21108-2019</t>
        </is>
      </c>
      <c r="B608" s="1" t="n">
        <v>43578</v>
      </c>
      <c r="C608" s="1" t="n">
        <v>45828</v>
      </c>
      <c r="D608" t="inlineStr">
        <is>
          <t>JÖNKÖPINGS LÄN</t>
        </is>
      </c>
      <c r="E608" t="inlineStr">
        <is>
          <t>ANEBY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20949-2019</t>
        </is>
      </c>
      <c r="B609" s="1" t="n">
        <v>43578</v>
      </c>
      <c r="C609" s="1" t="n">
        <v>45828</v>
      </c>
      <c r="D609" t="inlineStr">
        <is>
          <t>JÖNKÖPINGS LÄN</t>
        </is>
      </c>
      <c r="E609" t="inlineStr">
        <is>
          <t>ANEBY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21214-2019</t>
        </is>
      </c>
      <c r="B610" s="1" t="n">
        <v>43579</v>
      </c>
      <c r="C610" s="1" t="n">
        <v>45828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21221-2019</t>
        </is>
      </c>
      <c r="B611" s="1" t="n">
        <v>43579</v>
      </c>
      <c r="C611" s="1" t="n">
        <v>45828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21227-2019</t>
        </is>
      </c>
      <c r="B612" s="1" t="n">
        <v>43579</v>
      </c>
      <c r="C612" s="1" t="n">
        <v>45828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21354-2019</t>
        </is>
      </c>
      <c r="B613" s="1" t="n">
        <v>43579</v>
      </c>
      <c r="C613" s="1" t="n">
        <v>45828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21217-2019</t>
        </is>
      </c>
      <c r="B614" s="1" t="n">
        <v>43579</v>
      </c>
      <c r="C614" s="1" t="n">
        <v>45828</v>
      </c>
      <c r="D614" t="inlineStr">
        <is>
          <t>JÖNKÖPINGS LÄN</t>
        </is>
      </c>
      <c r="E614" t="inlineStr">
        <is>
          <t>VAGGERYD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21436-2019</t>
        </is>
      </c>
      <c r="B615" s="1" t="n">
        <v>43580</v>
      </c>
      <c r="C615" s="1" t="n">
        <v>45828</v>
      </c>
      <c r="D615" t="inlineStr">
        <is>
          <t>JÖNKÖPINGS LÄN</t>
        </is>
      </c>
      <c r="E615" t="inlineStr">
        <is>
          <t>TRANÅS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21483-2019</t>
        </is>
      </c>
      <c r="B616" s="1" t="n">
        <v>43580</v>
      </c>
      <c r="C616" s="1" t="n">
        <v>45828</v>
      </c>
      <c r="D616" t="inlineStr">
        <is>
          <t>JÖNKÖPINGS LÄN</t>
        </is>
      </c>
      <c r="E616" t="inlineStr">
        <is>
          <t>TRANÅS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21490-2019</t>
        </is>
      </c>
      <c r="B617" s="1" t="n">
        <v>43580</v>
      </c>
      <c r="C617" s="1" t="n">
        <v>45828</v>
      </c>
      <c r="D617" t="inlineStr">
        <is>
          <t>JÖNKÖPINGS LÄN</t>
        </is>
      </c>
      <c r="E617" t="inlineStr">
        <is>
          <t>TRANÅS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21514-2019</t>
        </is>
      </c>
      <c r="B618" s="1" t="n">
        <v>43580</v>
      </c>
      <c r="C618" s="1" t="n">
        <v>45828</v>
      </c>
      <c r="D618" t="inlineStr">
        <is>
          <t>JÖNKÖPINGS LÄN</t>
        </is>
      </c>
      <c r="E618" t="inlineStr">
        <is>
          <t>TRANÅS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21571-2019</t>
        </is>
      </c>
      <c r="B619" s="1" t="n">
        <v>43580</v>
      </c>
      <c r="C619" s="1" t="n">
        <v>45828</v>
      </c>
      <c r="D619" t="inlineStr">
        <is>
          <t>JÖNKÖPINGS LÄN</t>
        </is>
      </c>
      <c r="E619" t="inlineStr">
        <is>
          <t>VETLANDA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21470-2019</t>
        </is>
      </c>
      <c r="B620" s="1" t="n">
        <v>43580</v>
      </c>
      <c r="C620" s="1" t="n">
        <v>45828</v>
      </c>
      <c r="D620" t="inlineStr">
        <is>
          <t>JÖNKÖPINGS LÄN</t>
        </is>
      </c>
      <c r="E620" t="inlineStr">
        <is>
          <t>TRANÅS</t>
        </is>
      </c>
      <c r="G620" t="n">
        <v>14.6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21481-2019</t>
        </is>
      </c>
      <c r="B621" s="1" t="n">
        <v>43580</v>
      </c>
      <c r="C621" s="1" t="n">
        <v>45828</v>
      </c>
      <c r="D621" t="inlineStr">
        <is>
          <t>JÖNKÖPINGS LÄN</t>
        </is>
      </c>
      <c r="E621" t="inlineStr">
        <is>
          <t>VAGGERYD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21568-2019</t>
        </is>
      </c>
      <c r="B622" s="1" t="n">
        <v>43580</v>
      </c>
      <c r="C622" s="1" t="n">
        <v>45828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21474-2019</t>
        </is>
      </c>
      <c r="B623" s="1" t="n">
        <v>43580</v>
      </c>
      <c r="C623" s="1" t="n">
        <v>45828</v>
      </c>
      <c r="D623" t="inlineStr">
        <is>
          <t>JÖNKÖPINGS LÄN</t>
        </is>
      </c>
      <c r="E623" t="inlineStr">
        <is>
          <t>TRANÅS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21385-2019</t>
        </is>
      </c>
      <c r="B624" s="1" t="n">
        <v>43580</v>
      </c>
      <c r="C624" s="1" t="n">
        <v>45828</v>
      </c>
      <c r="D624" t="inlineStr">
        <is>
          <t>JÖNKÖPINGS LÄN</t>
        </is>
      </c>
      <c r="E624" t="inlineStr">
        <is>
          <t>TRANÅS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21482-2019</t>
        </is>
      </c>
      <c r="B625" s="1" t="n">
        <v>43580</v>
      </c>
      <c r="C625" s="1" t="n">
        <v>45828</v>
      </c>
      <c r="D625" t="inlineStr">
        <is>
          <t>JÖNKÖPINGS LÄN</t>
        </is>
      </c>
      <c r="E625" t="inlineStr">
        <is>
          <t>TRANÅS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21736-2019</t>
        </is>
      </c>
      <c r="B626" s="1" t="n">
        <v>43581</v>
      </c>
      <c r="C626" s="1" t="n">
        <v>45828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21740-2019</t>
        </is>
      </c>
      <c r="B627" s="1" t="n">
        <v>43581</v>
      </c>
      <c r="C627" s="1" t="n">
        <v>45828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21743-2019</t>
        </is>
      </c>
      <c r="B628" s="1" t="n">
        <v>43581</v>
      </c>
      <c r="C628" s="1" t="n">
        <v>45828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21800-2019</t>
        </is>
      </c>
      <c r="B629" s="1" t="n">
        <v>43582</v>
      </c>
      <c r="C629" s="1" t="n">
        <v>45828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21856-2019</t>
        </is>
      </c>
      <c r="B630" s="1" t="n">
        <v>43584</v>
      </c>
      <c r="C630" s="1" t="n">
        <v>45828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21855-2019</t>
        </is>
      </c>
      <c r="B631" s="1" t="n">
        <v>43584</v>
      </c>
      <c r="C631" s="1" t="n">
        <v>45828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21980-2019</t>
        </is>
      </c>
      <c r="B632" s="1" t="n">
        <v>43584</v>
      </c>
      <c r="C632" s="1" t="n">
        <v>45828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22069-2019</t>
        </is>
      </c>
      <c r="B633" s="1" t="n">
        <v>43584</v>
      </c>
      <c r="C633" s="1" t="n">
        <v>45828</v>
      </c>
      <c r="D633" t="inlineStr">
        <is>
          <t>JÖNKÖPINGS LÄN</t>
        </is>
      </c>
      <c r="E633" t="inlineStr">
        <is>
          <t>GNOSJÖ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22078-2019</t>
        </is>
      </c>
      <c r="B634" s="1" t="n">
        <v>43584</v>
      </c>
      <c r="C634" s="1" t="n">
        <v>45828</v>
      </c>
      <c r="D634" t="inlineStr">
        <is>
          <t>JÖNKÖPINGS LÄN</t>
        </is>
      </c>
      <c r="E634" t="inlineStr">
        <is>
          <t>GISLAVED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22073-2019</t>
        </is>
      </c>
      <c r="B635" s="1" t="n">
        <v>43584</v>
      </c>
      <c r="C635" s="1" t="n">
        <v>45828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21983-2019</t>
        </is>
      </c>
      <c r="B636" s="1" t="n">
        <v>43584</v>
      </c>
      <c r="C636" s="1" t="n">
        <v>45828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22083-2019</t>
        </is>
      </c>
      <c r="B637" s="1" t="n">
        <v>43584</v>
      </c>
      <c r="C637" s="1" t="n">
        <v>45828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21981-2019</t>
        </is>
      </c>
      <c r="B638" s="1" t="n">
        <v>43584</v>
      </c>
      <c r="C638" s="1" t="n">
        <v>45828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22234-2019</t>
        </is>
      </c>
      <c r="B639" s="1" t="n">
        <v>43585</v>
      </c>
      <c r="C639" s="1" t="n">
        <v>45828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22167-2019</t>
        </is>
      </c>
      <c r="B640" s="1" t="n">
        <v>43585</v>
      </c>
      <c r="C640" s="1" t="n">
        <v>45828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22171-2019</t>
        </is>
      </c>
      <c r="B641" s="1" t="n">
        <v>43585</v>
      </c>
      <c r="C641" s="1" t="n">
        <v>45828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22315-2019</t>
        </is>
      </c>
      <c r="B642" s="1" t="n">
        <v>43586</v>
      </c>
      <c r="C642" s="1" t="n">
        <v>45828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22314-2019</t>
        </is>
      </c>
      <c r="B643" s="1" t="n">
        <v>43586</v>
      </c>
      <c r="C643" s="1" t="n">
        <v>45828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22475-2019</t>
        </is>
      </c>
      <c r="B644" s="1" t="n">
        <v>43587</v>
      </c>
      <c r="C644" s="1" t="n">
        <v>45828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22476-2019</t>
        </is>
      </c>
      <c r="B645" s="1" t="n">
        <v>43587</v>
      </c>
      <c r="C645" s="1" t="n">
        <v>45828</v>
      </c>
      <c r="D645" t="inlineStr">
        <is>
          <t>JÖNKÖPINGS LÄN</t>
        </is>
      </c>
      <c r="E645" t="inlineStr">
        <is>
          <t>GISLAVED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22680-2019</t>
        </is>
      </c>
      <c r="B646" s="1" t="n">
        <v>43588</v>
      </c>
      <c r="C646" s="1" t="n">
        <v>45828</v>
      </c>
      <c r="D646" t="inlineStr">
        <is>
          <t>JÖNKÖPINGS LÄN</t>
        </is>
      </c>
      <c r="E646" t="inlineStr">
        <is>
          <t>VAGGERYD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22991-2019</t>
        </is>
      </c>
      <c r="B647" s="1" t="n">
        <v>43588</v>
      </c>
      <c r="C647" s="1" t="n">
        <v>45828</v>
      </c>
      <c r="D647" t="inlineStr">
        <is>
          <t>JÖNKÖPINGS LÄN</t>
        </is>
      </c>
      <c r="E647" t="inlineStr">
        <is>
          <t>VAGGERYD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22678-2019</t>
        </is>
      </c>
      <c r="B648" s="1" t="n">
        <v>43588</v>
      </c>
      <c r="C648" s="1" t="n">
        <v>45828</v>
      </c>
      <c r="D648" t="inlineStr">
        <is>
          <t>JÖNKÖPINGS LÄN</t>
        </is>
      </c>
      <c r="E648" t="inlineStr">
        <is>
          <t>VAGGERYD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22676-2019</t>
        </is>
      </c>
      <c r="B649" s="1" t="n">
        <v>43588</v>
      </c>
      <c r="C649" s="1" t="n">
        <v>45828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22681-2019</t>
        </is>
      </c>
      <c r="B650" s="1" t="n">
        <v>43588</v>
      </c>
      <c r="C650" s="1" t="n">
        <v>45828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22797-2019</t>
        </is>
      </c>
      <c r="B651" s="1" t="n">
        <v>43589</v>
      </c>
      <c r="C651" s="1" t="n">
        <v>45828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22818-2019</t>
        </is>
      </c>
      <c r="B652" s="1" t="n">
        <v>43590</v>
      </c>
      <c r="C652" s="1" t="n">
        <v>45828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22814-2019</t>
        </is>
      </c>
      <c r="B653" s="1" t="n">
        <v>43590</v>
      </c>
      <c r="C653" s="1" t="n">
        <v>45828</v>
      </c>
      <c r="D653" t="inlineStr">
        <is>
          <t>JÖNKÖPINGS LÄN</t>
        </is>
      </c>
      <c r="E653" t="inlineStr">
        <is>
          <t>VAGGERYD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22838-2019</t>
        </is>
      </c>
      <c r="B654" s="1" t="n">
        <v>43591</v>
      </c>
      <c r="C654" s="1" t="n">
        <v>45828</v>
      </c>
      <c r="D654" t="inlineStr">
        <is>
          <t>JÖNKÖPINGS LÄN</t>
        </is>
      </c>
      <c r="E654" t="inlineStr">
        <is>
          <t>GNOSJÖ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22992-2019</t>
        </is>
      </c>
      <c r="B655" s="1" t="n">
        <v>43591</v>
      </c>
      <c r="C655" s="1" t="n">
        <v>45828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23024-2019</t>
        </is>
      </c>
      <c r="B656" s="1" t="n">
        <v>43591</v>
      </c>
      <c r="C656" s="1" t="n">
        <v>45828</v>
      </c>
      <c r="D656" t="inlineStr">
        <is>
          <t>JÖNKÖPINGS LÄN</t>
        </is>
      </c>
      <c r="E656" t="inlineStr">
        <is>
          <t>VAGGERYD</t>
        </is>
      </c>
      <c r="F656" t="inlineStr">
        <is>
          <t>Kommuner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23182-2019</t>
        </is>
      </c>
      <c r="B657" s="1" t="n">
        <v>43591</v>
      </c>
      <c r="C657" s="1" t="n">
        <v>45828</v>
      </c>
      <c r="D657" t="inlineStr">
        <is>
          <t>JÖNKÖPINGS LÄN</t>
        </is>
      </c>
      <c r="E657" t="inlineStr">
        <is>
          <t>EKSJÖ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23272-2019</t>
        </is>
      </c>
      <c r="B658" s="1" t="n">
        <v>43592</v>
      </c>
      <c r="C658" s="1" t="n">
        <v>45828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23164-2019</t>
        </is>
      </c>
      <c r="B659" s="1" t="n">
        <v>43592</v>
      </c>
      <c r="C659" s="1" t="n">
        <v>45828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23273-2019</t>
        </is>
      </c>
      <c r="B660" s="1" t="n">
        <v>43592</v>
      </c>
      <c r="C660" s="1" t="n">
        <v>45828</v>
      </c>
      <c r="D660" t="inlineStr">
        <is>
          <t>JÖNKÖPINGS LÄN</t>
        </is>
      </c>
      <c r="E660" t="inlineStr">
        <is>
          <t>JÖNKÖPING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23119-2019</t>
        </is>
      </c>
      <c r="B661" s="1" t="n">
        <v>43592</v>
      </c>
      <c r="C661" s="1" t="n">
        <v>45828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23120-2019</t>
        </is>
      </c>
      <c r="B662" s="1" t="n">
        <v>43592</v>
      </c>
      <c r="C662" s="1" t="n">
        <v>45828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23371-2019</t>
        </is>
      </c>
      <c r="B663" s="1" t="n">
        <v>43593</v>
      </c>
      <c r="C663" s="1" t="n">
        <v>45828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23369-2019</t>
        </is>
      </c>
      <c r="B664" s="1" t="n">
        <v>43593</v>
      </c>
      <c r="C664" s="1" t="n">
        <v>45828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23650-2019</t>
        </is>
      </c>
      <c r="B665" s="1" t="n">
        <v>43594</v>
      </c>
      <c r="C665" s="1" t="n">
        <v>45828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23602-2019</t>
        </is>
      </c>
      <c r="B666" s="1" t="n">
        <v>43594</v>
      </c>
      <c r="C666" s="1" t="n">
        <v>45828</v>
      </c>
      <c r="D666" t="inlineStr">
        <is>
          <t>JÖNKÖPINGS LÄN</t>
        </is>
      </c>
      <c r="E666" t="inlineStr">
        <is>
          <t>VAGGERYD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23978-2019</t>
        </is>
      </c>
      <c r="B667" s="1" t="n">
        <v>43595</v>
      </c>
      <c r="C667" s="1" t="n">
        <v>45828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23870-2019</t>
        </is>
      </c>
      <c r="B668" s="1" t="n">
        <v>43595</v>
      </c>
      <c r="C668" s="1" t="n">
        <v>45828</v>
      </c>
      <c r="D668" t="inlineStr">
        <is>
          <t>JÖNKÖPINGS LÄN</t>
        </is>
      </c>
      <c r="E668" t="inlineStr">
        <is>
          <t>ANEBY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24119-2019</t>
        </is>
      </c>
      <c r="B669" s="1" t="n">
        <v>43598</v>
      </c>
      <c r="C669" s="1" t="n">
        <v>45828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24206-2019</t>
        </is>
      </c>
      <c r="B670" s="1" t="n">
        <v>43598</v>
      </c>
      <c r="C670" s="1" t="n">
        <v>45828</v>
      </c>
      <c r="D670" t="inlineStr">
        <is>
          <t>JÖNKÖPINGS LÄN</t>
        </is>
      </c>
      <c r="E670" t="inlineStr">
        <is>
          <t>TRANÅS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24037-2019</t>
        </is>
      </c>
      <c r="B671" s="1" t="n">
        <v>43598</v>
      </c>
      <c r="C671" s="1" t="n">
        <v>45828</v>
      </c>
      <c r="D671" t="inlineStr">
        <is>
          <t>JÖNKÖPINGS LÄN</t>
        </is>
      </c>
      <c r="E671" t="inlineStr">
        <is>
          <t>ANEBY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24116-2019</t>
        </is>
      </c>
      <c r="B672" s="1" t="n">
        <v>43598</v>
      </c>
      <c r="C672" s="1" t="n">
        <v>45828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24172-2019</t>
        </is>
      </c>
      <c r="B673" s="1" t="n">
        <v>43599</v>
      </c>
      <c r="C673" s="1" t="n">
        <v>45828</v>
      </c>
      <c r="D673" t="inlineStr">
        <is>
          <t>JÖNKÖPINGS LÄN</t>
        </is>
      </c>
      <c r="E673" t="inlineStr">
        <is>
          <t>NÄSSJÖ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24329-2019</t>
        </is>
      </c>
      <c r="B674" s="1" t="n">
        <v>43599</v>
      </c>
      <c r="C674" s="1" t="n">
        <v>45828</v>
      </c>
      <c r="D674" t="inlineStr">
        <is>
          <t>JÖNKÖPINGS LÄN</t>
        </is>
      </c>
      <c r="E674" t="inlineStr">
        <is>
          <t>VAGGERYD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24223-2019</t>
        </is>
      </c>
      <c r="B675" s="1" t="n">
        <v>43599</v>
      </c>
      <c r="C675" s="1" t="n">
        <v>45828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24194-2019</t>
        </is>
      </c>
      <c r="B676" s="1" t="n">
        <v>43599</v>
      </c>
      <c r="C676" s="1" t="n">
        <v>45828</v>
      </c>
      <c r="D676" t="inlineStr">
        <is>
          <t>JÖNKÖPINGS LÄN</t>
        </is>
      </c>
      <c r="E676" t="inlineStr">
        <is>
          <t>ANEBY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24350-2019</t>
        </is>
      </c>
      <c r="B677" s="1" t="n">
        <v>43599</v>
      </c>
      <c r="C677" s="1" t="n">
        <v>45828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24745-2019</t>
        </is>
      </c>
      <c r="B678" s="1" t="n">
        <v>43599</v>
      </c>
      <c r="C678" s="1" t="n">
        <v>45828</v>
      </c>
      <c r="D678" t="inlineStr">
        <is>
          <t>JÖNKÖPINGS LÄN</t>
        </is>
      </c>
      <c r="E678" t="inlineStr">
        <is>
          <t>ANEBY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24173-2019</t>
        </is>
      </c>
      <c r="B679" s="1" t="n">
        <v>43599</v>
      </c>
      <c r="C679" s="1" t="n">
        <v>45828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24597-2019</t>
        </is>
      </c>
      <c r="B680" s="1" t="n">
        <v>43600</v>
      </c>
      <c r="C680" s="1" t="n">
        <v>45828</v>
      </c>
      <c r="D680" t="inlineStr">
        <is>
          <t>JÖNKÖPINGS LÄN</t>
        </is>
      </c>
      <c r="E680" t="inlineStr">
        <is>
          <t>TRANÅS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24471-2019</t>
        </is>
      </c>
      <c r="B681" s="1" t="n">
        <v>43600</v>
      </c>
      <c r="C681" s="1" t="n">
        <v>45828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24730-2019</t>
        </is>
      </c>
      <c r="B682" s="1" t="n">
        <v>43601</v>
      </c>
      <c r="C682" s="1" t="n">
        <v>45828</v>
      </c>
      <c r="D682" t="inlineStr">
        <is>
          <t>JÖNKÖPINGS LÄN</t>
        </is>
      </c>
      <c r="E682" t="inlineStr">
        <is>
          <t>SÄVSJÖ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24601-2019</t>
        </is>
      </c>
      <c r="B683" s="1" t="n">
        <v>43601</v>
      </c>
      <c r="C683" s="1" t="n">
        <v>45828</v>
      </c>
      <c r="D683" t="inlineStr">
        <is>
          <t>JÖNKÖPINGS LÄN</t>
        </is>
      </c>
      <c r="E683" t="inlineStr">
        <is>
          <t>VÄRNAMO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24702-2019</t>
        </is>
      </c>
      <c r="B684" s="1" t="n">
        <v>43601</v>
      </c>
      <c r="C684" s="1" t="n">
        <v>45828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24593-2019</t>
        </is>
      </c>
      <c r="B685" s="1" t="n">
        <v>43601</v>
      </c>
      <c r="C685" s="1" t="n">
        <v>45828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24648-2019</t>
        </is>
      </c>
      <c r="B686" s="1" t="n">
        <v>43601</v>
      </c>
      <c r="C686" s="1" t="n">
        <v>45828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24700-2019</t>
        </is>
      </c>
      <c r="B687" s="1" t="n">
        <v>43601</v>
      </c>
      <c r="C687" s="1" t="n">
        <v>45828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24649-2019</t>
        </is>
      </c>
      <c r="B688" s="1" t="n">
        <v>43601</v>
      </c>
      <c r="C688" s="1" t="n">
        <v>45828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24860-2019</t>
        </is>
      </c>
      <c r="B689" s="1" t="n">
        <v>43602</v>
      </c>
      <c r="C689" s="1" t="n">
        <v>45828</v>
      </c>
      <c r="D689" t="inlineStr">
        <is>
          <t>JÖNKÖPINGS LÄN</t>
        </is>
      </c>
      <c r="E689" t="inlineStr">
        <is>
          <t>SÄVSJÖ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24863-2019</t>
        </is>
      </c>
      <c r="B690" s="1" t="n">
        <v>43602</v>
      </c>
      <c r="C690" s="1" t="n">
        <v>45828</v>
      </c>
      <c r="D690" t="inlineStr">
        <is>
          <t>JÖNKÖPINGS LÄN</t>
        </is>
      </c>
      <c r="E690" t="inlineStr">
        <is>
          <t>SÄVSJÖ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24997-2019</t>
        </is>
      </c>
      <c r="B691" s="1" t="n">
        <v>43602</v>
      </c>
      <c r="C691" s="1" t="n">
        <v>45828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24968-2019</t>
        </is>
      </c>
      <c r="B692" s="1" t="n">
        <v>43602</v>
      </c>
      <c r="C692" s="1" t="n">
        <v>45828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25093-2019</t>
        </is>
      </c>
      <c r="B693" s="1" t="n">
        <v>43605</v>
      </c>
      <c r="C693" s="1" t="n">
        <v>45828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25086-2019</t>
        </is>
      </c>
      <c r="B694" s="1" t="n">
        <v>43605</v>
      </c>
      <c r="C694" s="1" t="n">
        <v>45828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25263-2019</t>
        </is>
      </c>
      <c r="B695" s="1" t="n">
        <v>43605</v>
      </c>
      <c r="C695" s="1" t="n">
        <v>45828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25888-2019</t>
        </is>
      </c>
      <c r="B696" s="1" t="n">
        <v>43605</v>
      </c>
      <c r="C696" s="1" t="n">
        <v>45828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25819-2019</t>
        </is>
      </c>
      <c r="B697" s="1" t="n">
        <v>43605</v>
      </c>
      <c r="C697" s="1" t="n">
        <v>45828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25868-2019</t>
        </is>
      </c>
      <c r="B698" s="1" t="n">
        <v>43605</v>
      </c>
      <c r="C698" s="1" t="n">
        <v>45828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25231-2019</t>
        </is>
      </c>
      <c r="B699" s="1" t="n">
        <v>43605</v>
      </c>
      <c r="C699" s="1" t="n">
        <v>45828</v>
      </c>
      <c r="D699" t="inlineStr">
        <is>
          <t>JÖNKÖPINGS LÄN</t>
        </is>
      </c>
      <c r="E699" t="inlineStr">
        <is>
          <t>NÄSSJÖ</t>
        </is>
      </c>
      <c r="F699" t="inlineStr">
        <is>
          <t>Övriga statliga verk och myndigheter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25795-2019</t>
        </is>
      </c>
      <c r="B700" s="1" t="n">
        <v>43605</v>
      </c>
      <c r="C700" s="1" t="n">
        <v>45828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25181-2019</t>
        </is>
      </c>
      <c r="B701" s="1" t="n">
        <v>43605</v>
      </c>
      <c r="C701" s="1" t="n">
        <v>45828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25083-2019</t>
        </is>
      </c>
      <c r="B702" s="1" t="n">
        <v>43605</v>
      </c>
      <c r="C702" s="1" t="n">
        <v>45828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25389-2019</t>
        </is>
      </c>
      <c r="B703" s="1" t="n">
        <v>43606</v>
      </c>
      <c r="C703" s="1" t="n">
        <v>45828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25379-2019</t>
        </is>
      </c>
      <c r="B704" s="1" t="n">
        <v>43606</v>
      </c>
      <c r="C704" s="1" t="n">
        <v>45828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25407-2019</t>
        </is>
      </c>
      <c r="B705" s="1" t="n">
        <v>43606</v>
      </c>
      <c r="C705" s="1" t="n">
        <v>45828</v>
      </c>
      <c r="D705" t="inlineStr">
        <is>
          <t>JÖNKÖPINGS LÄN</t>
        </is>
      </c>
      <c r="E705" t="inlineStr">
        <is>
          <t>VÄRNAMO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26352-2019</t>
        </is>
      </c>
      <c r="B706" s="1" t="n">
        <v>43606</v>
      </c>
      <c r="C706" s="1" t="n">
        <v>45828</v>
      </c>
      <c r="D706" t="inlineStr">
        <is>
          <t>JÖNKÖPINGS LÄN</t>
        </is>
      </c>
      <c r="E706" t="inlineStr">
        <is>
          <t>EKSJÖ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26331-2019</t>
        </is>
      </c>
      <c r="B707" s="1" t="n">
        <v>43606</v>
      </c>
      <c r="C707" s="1" t="n">
        <v>45828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25700-2019</t>
        </is>
      </c>
      <c r="B708" s="1" t="n">
        <v>43607</v>
      </c>
      <c r="C708" s="1" t="n">
        <v>45828</v>
      </c>
      <c r="D708" t="inlineStr">
        <is>
          <t>JÖNKÖPINGS LÄN</t>
        </is>
      </c>
      <c r="E708" t="inlineStr">
        <is>
          <t>NÄSSJÖ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25684-2019</t>
        </is>
      </c>
      <c r="B709" s="1" t="n">
        <v>43607</v>
      </c>
      <c r="C709" s="1" t="n">
        <v>45828</v>
      </c>
      <c r="D709" t="inlineStr">
        <is>
          <t>JÖNKÖPINGS LÄN</t>
        </is>
      </c>
      <c r="E709" t="inlineStr">
        <is>
          <t>NÄSSJÖ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26670-2019</t>
        </is>
      </c>
      <c r="B710" s="1" t="n">
        <v>43607</v>
      </c>
      <c r="C710" s="1" t="n">
        <v>45828</v>
      </c>
      <c r="D710" t="inlineStr">
        <is>
          <t>JÖNKÖPINGS LÄN</t>
        </is>
      </c>
      <c r="E710" t="inlineStr">
        <is>
          <t>JÖNKÖPING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25582-2019</t>
        </is>
      </c>
      <c r="B711" s="1" t="n">
        <v>43607</v>
      </c>
      <c r="C711" s="1" t="n">
        <v>45828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26735-2019</t>
        </is>
      </c>
      <c r="B712" s="1" t="n">
        <v>43607</v>
      </c>
      <c r="C712" s="1" t="n">
        <v>45828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26667-2019</t>
        </is>
      </c>
      <c r="B713" s="1" t="n">
        <v>43607</v>
      </c>
      <c r="C713" s="1" t="n">
        <v>45828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25829-2019</t>
        </is>
      </c>
      <c r="B714" s="1" t="n">
        <v>43608</v>
      </c>
      <c r="C714" s="1" t="n">
        <v>45828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25831-2019</t>
        </is>
      </c>
      <c r="B715" s="1" t="n">
        <v>43608</v>
      </c>
      <c r="C715" s="1" t="n">
        <v>45828</v>
      </c>
      <c r="D715" t="inlineStr">
        <is>
          <t>JÖNKÖPINGS LÄN</t>
        </is>
      </c>
      <c r="E715" t="inlineStr">
        <is>
          <t>NÄSSJÖ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25943-2019</t>
        </is>
      </c>
      <c r="B716" s="1" t="n">
        <v>43608</v>
      </c>
      <c r="C716" s="1" t="n">
        <v>45828</v>
      </c>
      <c r="D716" t="inlineStr">
        <is>
          <t>JÖNKÖPINGS LÄN</t>
        </is>
      </c>
      <c r="E716" t="inlineStr">
        <is>
          <t>EKSJÖ</t>
        </is>
      </c>
      <c r="F716" t="inlineStr">
        <is>
          <t>Övriga statliga verk och myndigheter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25790-2019</t>
        </is>
      </c>
      <c r="B717" s="1" t="n">
        <v>43608</v>
      </c>
      <c r="C717" s="1" t="n">
        <v>45828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25944-2019</t>
        </is>
      </c>
      <c r="B718" s="1" t="n">
        <v>43608</v>
      </c>
      <c r="C718" s="1" t="n">
        <v>45828</v>
      </c>
      <c r="D718" t="inlineStr">
        <is>
          <t>JÖNKÖPINGS LÄN</t>
        </is>
      </c>
      <c r="E718" t="inlineStr">
        <is>
          <t>NÄSSJÖ</t>
        </is>
      </c>
      <c r="F718" t="inlineStr">
        <is>
          <t>Övriga statliga verk och myndigheter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26908-2019</t>
        </is>
      </c>
      <c r="B719" s="1" t="n">
        <v>43609</v>
      </c>
      <c r="C719" s="1" t="n">
        <v>45828</v>
      </c>
      <c r="D719" t="inlineStr">
        <is>
          <t>JÖNKÖPINGS LÄN</t>
        </is>
      </c>
      <c r="E719" t="inlineStr">
        <is>
          <t>VAGGERYD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26628-2019</t>
        </is>
      </c>
      <c r="B720" s="1" t="n">
        <v>43612</v>
      </c>
      <c r="C720" s="1" t="n">
        <v>45828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26554-2019</t>
        </is>
      </c>
      <c r="B721" s="1" t="n">
        <v>43612</v>
      </c>
      <c r="C721" s="1" t="n">
        <v>45828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27731-2019</t>
        </is>
      </c>
      <c r="B722" s="1" t="n">
        <v>43612</v>
      </c>
      <c r="C722" s="1" t="n">
        <v>45828</v>
      </c>
      <c r="D722" t="inlineStr">
        <is>
          <t>JÖNKÖPINGS LÄN</t>
        </is>
      </c>
      <c r="E722" t="inlineStr">
        <is>
          <t>GISLAVED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27734-2019</t>
        </is>
      </c>
      <c r="B723" s="1" t="n">
        <v>43612</v>
      </c>
      <c r="C723" s="1" t="n">
        <v>45828</v>
      </c>
      <c r="D723" t="inlineStr">
        <is>
          <t>JÖNKÖPINGS LÄN</t>
        </is>
      </c>
      <c r="E723" t="inlineStr">
        <is>
          <t>GISLAVED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26506-2019</t>
        </is>
      </c>
      <c r="B724" s="1" t="n">
        <v>43612</v>
      </c>
      <c r="C724" s="1" t="n">
        <v>45828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26663-2019</t>
        </is>
      </c>
      <c r="B725" s="1" t="n">
        <v>43613</v>
      </c>
      <c r="C725" s="1" t="n">
        <v>45828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26691-2019</t>
        </is>
      </c>
      <c r="B726" s="1" t="n">
        <v>43613</v>
      </c>
      <c r="C726" s="1" t="n">
        <v>45828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28090-2019</t>
        </is>
      </c>
      <c r="B727" s="1" t="n">
        <v>43613</v>
      </c>
      <c r="C727" s="1" t="n">
        <v>45828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28083-2019</t>
        </is>
      </c>
      <c r="B728" s="1" t="n">
        <v>43613</v>
      </c>
      <c r="C728" s="1" t="n">
        <v>45828</v>
      </c>
      <c r="D728" t="inlineStr">
        <is>
          <t>JÖNKÖPINGS LÄN</t>
        </is>
      </c>
      <c r="E728" t="inlineStr">
        <is>
          <t>SÄVSJÖ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26732-2019</t>
        </is>
      </c>
      <c r="B729" s="1" t="n">
        <v>43613</v>
      </c>
      <c r="C729" s="1" t="n">
        <v>45828</v>
      </c>
      <c r="D729" t="inlineStr">
        <is>
          <t>JÖNKÖPINGS LÄN</t>
        </is>
      </c>
      <c r="E729" t="inlineStr">
        <is>
          <t>VAGGERYD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28094-2019</t>
        </is>
      </c>
      <c r="B730" s="1" t="n">
        <v>43613</v>
      </c>
      <c r="C730" s="1" t="n">
        <v>45828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27044-2019</t>
        </is>
      </c>
      <c r="B731" s="1" t="n">
        <v>43614</v>
      </c>
      <c r="C731" s="1" t="n">
        <v>45828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28697-2019</t>
        </is>
      </c>
      <c r="B732" s="1" t="n">
        <v>43614</v>
      </c>
      <c r="C732" s="1" t="n">
        <v>45828</v>
      </c>
      <c r="D732" t="inlineStr">
        <is>
          <t>JÖNKÖPINGS LÄN</t>
        </is>
      </c>
      <c r="E732" t="inlineStr">
        <is>
          <t>JÖNKÖPING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28692-2019</t>
        </is>
      </c>
      <c r="B733" s="1" t="n">
        <v>43614</v>
      </c>
      <c r="C733" s="1" t="n">
        <v>45828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28683-2019</t>
        </is>
      </c>
      <c r="B734" s="1" t="n">
        <v>43614</v>
      </c>
      <c r="C734" s="1" t="n">
        <v>45828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27499-2019</t>
        </is>
      </c>
      <c r="B735" s="1" t="n">
        <v>43616</v>
      </c>
      <c r="C735" s="1" t="n">
        <v>45828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27466-2019</t>
        </is>
      </c>
      <c r="B736" s="1" t="n">
        <v>43618</v>
      </c>
      <c r="C736" s="1" t="n">
        <v>45828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27642-2019</t>
        </is>
      </c>
      <c r="B737" s="1" t="n">
        <v>43619</v>
      </c>
      <c r="C737" s="1" t="n">
        <v>45828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27551-2019</t>
        </is>
      </c>
      <c r="B738" s="1" t="n">
        <v>43619</v>
      </c>
      <c r="C738" s="1" t="n">
        <v>45828</v>
      </c>
      <c r="D738" t="inlineStr">
        <is>
          <t>JÖNKÖPINGS LÄN</t>
        </is>
      </c>
      <c r="E738" t="inlineStr">
        <is>
          <t>TRANÅS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27565-2019</t>
        </is>
      </c>
      <c r="B739" s="1" t="n">
        <v>43619</v>
      </c>
      <c r="C739" s="1" t="n">
        <v>45828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28939-2019</t>
        </is>
      </c>
      <c r="B740" s="1" t="n">
        <v>43619</v>
      </c>
      <c r="C740" s="1" t="n">
        <v>45828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27643-2019</t>
        </is>
      </c>
      <c r="B741" s="1" t="n">
        <v>43619</v>
      </c>
      <c r="C741" s="1" t="n">
        <v>45828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27965-2019</t>
        </is>
      </c>
      <c r="B742" s="1" t="n">
        <v>43620</v>
      </c>
      <c r="C742" s="1" t="n">
        <v>45828</v>
      </c>
      <c r="D742" t="inlineStr">
        <is>
          <t>JÖNKÖPINGS LÄN</t>
        </is>
      </c>
      <c r="E742" t="inlineStr">
        <is>
          <t>NÄSSJÖ</t>
        </is>
      </c>
      <c r="F742" t="inlineStr">
        <is>
          <t>Kommuner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27963-2019</t>
        </is>
      </c>
      <c r="B743" s="1" t="n">
        <v>43620</v>
      </c>
      <c r="C743" s="1" t="n">
        <v>45828</v>
      </c>
      <c r="D743" t="inlineStr">
        <is>
          <t>JÖNKÖPINGS LÄN</t>
        </is>
      </c>
      <c r="E743" t="inlineStr">
        <is>
          <t>TRANÅS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27966-2019</t>
        </is>
      </c>
      <c r="B744" s="1" t="n">
        <v>43620</v>
      </c>
      <c r="C744" s="1" t="n">
        <v>45828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27878-2019</t>
        </is>
      </c>
      <c r="B745" s="1" t="n">
        <v>43620</v>
      </c>
      <c r="C745" s="1" t="n">
        <v>45828</v>
      </c>
      <c r="D745" t="inlineStr">
        <is>
          <t>JÖNKÖPINGS LÄN</t>
        </is>
      </c>
      <c r="E745" t="inlineStr">
        <is>
          <t>JÖNKÖPING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27958-2019</t>
        </is>
      </c>
      <c r="B746" s="1" t="n">
        <v>43620</v>
      </c>
      <c r="C746" s="1" t="n">
        <v>45828</v>
      </c>
      <c r="D746" t="inlineStr">
        <is>
          <t>JÖNKÖPINGS LÄN</t>
        </is>
      </c>
      <c r="E746" t="inlineStr">
        <is>
          <t>TRANÅS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27851-2019</t>
        </is>
      </c>
      <c r="B747" s="1" t="n">
        <v>43620</v>
      </c>
      <c r="C747" s="1" t="n">
        <v>45828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29009-2019</t>
        </is>
      </c>
      <c r="B748" s="1" t="n">
        <v>43620</v>
      </c>
      <c r="C748" s="1" t="n">
        <v>45828</v>
      </c>
      <c r="D748" t="inlineStr">
        <is>
          <t>JÖNKÖPINGS LÄN</t>
        </is>
      </c>
      <c r="E748" t="inlineStr">
        <is>
          <t>SÄVSJÖ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28081-2019</t>
        </is>
      </c>
      <c r="B749" s="1" t="n">
        <v>43621</v>
      </c>
      <c r="C749" s="1" t="n">
        <v>45828</v>
      </c>
      <c r="D749" t="inlineStr">
        <is>
          <t>JÖNKÖPINGS LÄN</t>
        </is>
      </c>
      <c r="E749" t="inlineStr">
        <is>
          <t>ANEBY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28093-2019</t>
        </is>
      </c>
      <c r="B750" s="1" t="n">
        <v>43621</v>
      </c>
      <c r="C750" s="1" t="n">
        <v>45828</v>
      </c>
      <c r="D750" t="inlineStr">
        <is>
          <t>JÖNKÖPINGS LÄN</t>
        </is>
      </c>
      <c r="E750" t="inlineStr">
        <is>
          <t>NÄSSJÖ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28246-2019</t>
        </is>
      </c>
      <c r="B751" s="1" t="n">
        <v>43622</v>
      </c>
      <c r="C751" s="1" t="n">
        <v>45828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28304-2019</t>
        </is>
      </c>
      <c r="B752" s="1" t="n">
        <v>43623</v>
      </c>
      <c r="C752" s="1" t="n">
        <v>45828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28445-2019</t>
        </is>
      </c>
      <c r="B753" s="1" t="n">
        <v>43626</v>
      </c>
      <c r="C753" s="1" t="n">
        <v>45828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28587-2019</t>
        </is>
      </c>
      <c r="B754" s="1" t="n">
        <v>43626</v>
      </c>
      <c r="C754" s="1" t="n">
        <v>45828</v>
      </c>
      <c r="D754" t="inlineStr">
        <is>
          <t>JÖNKÖPINGS LÄN</t>
        </is>
      </c>
      <c r="E754" t="inlineStr">
        <is>
          <t>VETLANDA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28561-2019</t>
        </is>
      </c>
      <c r="B755" s="1" t="n">
        <v>43626</v>
      </c>
      <c r="C755" s="1" t="n">
        <v>45828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28725-2019</t>
        </is>
      </c>
      <c r="B756" s="1" t="n">
        <v>43627</v>
      </c>
      <c r="C756" s="1" t="n">
        <v>45828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28657-2019</t>
        </is>
      </c>
      <c r="B757" s="1" t="n">
        <v>43627</v>
      </c>
      <c r="C757" s="1" t="n">
        <v>45828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28742-2019</t>
        </is>
      </c>
      <c r="B758" s="1" t="n">
        <v>43627</v>
      </c>
      <c r="C758" s="1" t="n">
        <v>45828</v>
      </c>
      <c r="D758" t="inlineStr">
        <is>
          <t>JÖNKÖPINGS LÄN</t>
        </is>
      </c>
      <c r="E758" t="inlineStr">
        <is>
          <t>ANEBY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28628-2019</t>
        </is>
      </c>
      <c r="B759" s="1" t="n">
        <v>43627</v>
      </c>
      <c r="C759" s="1" t="n">
        <v>45828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28721-2019</t>
        </is>
      </c>
      <c r="B760" s="1" t="n">
        <v>43627</v>
      </c>
      <c r="C760" s="1" t="n">
        <v>45828</v>
      </c>
      <c r="D760" t="inlineStr">
        <is>
          <t>JÖNKÖPINGS LÄN</t>
        </is>
      </c>
      <c r="E760" t="inlineStr">
        <is>
          <t>VÄRNAMO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28772-2019</t>
        </is>
      </c>
      <c r="B761" s="1" t="n">
        <v>43627</v>
      </c>
      <c r="C761" s="1" t="n">
        <v>45828</v>
      </c>
      <c r="D761" t="inlineStr">
        <is>
          <t>JÖNKÖPINGS LÄN</t>
        </is>
      </c>
      <c r="E761" t="inlineStr">
        <is>
          <t>EKSJÖ</t>
        </is>
      </c>
      <c r="F761" t="inlineStr">
        <is>
          <t>Övriga statliga verk och myndigheter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29504-2019</t>
        </is>
      </c>
      <c r="B762" s="1" t="n">
        <v>43627</v>
      </c>
      <c r="C762" s="1" t="n">
        <v>45828</v>
      </c>
      <c r="D762" t="inlineStr">
        <is>
          <t>JÖNKÖPINGS LÄN</t>
        </is>
      </c>
      <c r="E762" t="inlineStr">
        <is>
          <t>HABO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28676-2019</t>
        </is>
      </c>
      <c r="B763" s="1" t="n">
        <v>43627</v>
      </c>
      <c r="C763" s="1" t="n">
        <v>45828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29077-2019</t>
        </is>
      </c>
      <c r="B764" s="1" t="n">
        <v>43628</v>
      </c>
      <c r="C764" s="1" t="n">
        <v>45828</v>
      </c>
      <c r="D764" t="inlineStr">
        <is>
          <t>JÖNKÖPINGS LÄN</t>
        </is>
      </c>
      <c r="E764" t="inlineStr">
        <is>
          <t>EKSJÖ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28968-2019</t>
        </is>
      </c>
      <c r="B765" s="1" t="n">
        <v>43628</v>
      </c>
      <c r="C765" s="1" t="n">
        <v>45828</v>
      </c>
      <c r="D765" t="inlineStr">
        <is>
          <t>JÖNKÖPINGS LÄN</t>
        </is>
      </c>
      <c r="E765" t="inlineStr">
        <is>
          <t>SÄVSJÖ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29189-2019</t>
        </is>
      </c>
      <c r="B766" s="1" t="n">
        <v>43629</v>
      </c>
      <c r="C766" s="1" t="n">
        <v>45828</v>
      </c>
      <c r="D766" t="inlineStr">
        <is>
          <t>JÖNKÖPINGS LÄN</t>
        </is>
      </c>
      <c r="E766" t="inlineStr">
        <is>
          <t>VAGGERYD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29406-2019</t>
        </is>
      </c>
      <c r="B767" s="1" t="n">
        <v>43629</v>
      </c>
      <c r="C767" s="1" t="n">
        <v>45828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29420-2019</t>
        </is>
      </c>
      <c r="B768" s="1" t="n">
        <v>43629</v>
      </c>
      <c r="C768" s="1" t="n">
        <v>45828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30018-2019</t>
        </is>
      </c>
      <c r="B769" s="1" t="n">
        <v>43629</v>
      </c>
      <c r="C769" s="1" t="n">
        <v>45828</v>
      </c>
      <c r="D769" t="inlineStr">
        <is>
          <t>JÖNKÖPINGS LÄN</t>
        </is>
      </c>
      <c r="E769" t="inlineStr">
        <is>
          <t>SÄVSJÖ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29716-2019</t>
        </is>
      </c>
      <c r="B770" s="1" t="n">
        <v>43630</v>
      </c>
      <c r="C770" s="1" t="n">
        <v>45828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29726-2019</t>
        </is>
      </c>
      <c r="B771" s="1" t="n">
        <v>43630</v>
      </c>
      <c r="C771" s="1" t="n">
        <v>45828</v>
      </c>
      <c r="D771" t="inlineStr">
        <is>
          <t>JÖNKÖPINGS LÄN</t>
        </is>
      </c>
      <c r="E771" t="inlineStr">
        <is>
          <t>VÄRNAMO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29539-2019</t>
        </is>
      </c>
      <c r="B772" s="1" t="n">
        <v>43630</v>
      </c>
      <c r="C772" s="1" t="n">
        <v>45828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29767-2019</t>
        </is>
      </c>
      <c r="B773" s="1" t="n">
        <v>43632</v>
      </c>
      <c r="C773" s="1" t="n">
        <v>45828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29956-2019</t>
        </is>
      </c>
      <c r="B774" s="1" t="n">
        <v>43633</v>
      </c>
      <c r="C774" s="1" t="n">
        <v>45828</v>
      </c>
      <c r="D774" t="inlineStr">
        <is>
          <t>JÖNKÖPINGS LÄN</t>
        </is>
      </c>
      <c r="E774" t="inlineStr">
        <is>
          <t>JÖNKÖPING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30014-2019</t>
        </is>
      </c>
      <c r="B775" s="1" t="n">
        <v>43633</v>
      </c>
      <c r="C775" s="1" t="n">
        <v>45828</v>
      </c>
      <c r="D775" t="inlineStr">
        <is>
          <t>JÖNKÖPINGS LÄN</t>
        </is>
      </c>
      <c r="E775" t="inlineStr">
        <is>
          <t>VÄRNAMO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29897-2019</t>
        </is>
      </c>
      <c r="B776" s="1" t="n">
        <v>43633</v>
      </c>
      <c r="C776" s="1" t="n">
        <v>45828</v>
      </c>
      <c r="D776" t="inlineStr">
        <is>
          <t>JÖNKÖPINGS LÄN</t>
        </is>
      </c>
      <c r="E776" t="inlineStr">
        <is>
          <t>JÖNKÖPING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29914-2019</t>
        </is>
      </c>
      <c r="B777" s="1" t="n">
        <v>43633</v>
      </c>
      <c r="C777" s="1" t="n">
        <v>45828</v>
      </c>
      <c r="D777" t="inlineStr">
        <is>
          <t>JÖNKÖPINGS LÄN</t>
        </is>
      </c>
      <c r="E777" t="inlineStr">
        <is>
          <t>VAGGERYD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29962-2019</t>
        </is>
      </c>
      <c r="B778" s="1" t="n">
        <v>43633</v>
      </c>
      <c r="C778" s="1" t="n">
        <v>45828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29990-2019</t>
        </is>
      </c>
      <c r="B779" s="1" t="n">
        <v>43633</v>
      </c>
      <c r="C779" s="1" t="n">
        <v>45828</v>
      </c>
      <c r="D779" t="inlineStr">
        <is>
          <t>JÖNKÖPINGS LÄN</t>
        </is>
      </c>
      <c r="E779" t="inlineStr">
        <is>
          <t>TRANÅS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30016-2019</t>
        </is>
      </c>
      <c r="B780" s="1" t="n">
        <v>43633</v>
      </c>
      <c r="C780" s="1" t="n">
        <v>45828</v>
      </c>
      <c r="D780" t="inlineStr">
        <is>
          <t>JÖNKÖPINGS LÄN</t>
        </is>
      </c>
      <c r="E780" t="inlineStr">
        <is>
          <t>NÄSSJÖ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30054-2019</t>
        </is>
      </c>
      <c r="B781" s="1" t="n">
        <v>43633</v>
      </c>
      <c r="C781" s="1" t="n">
        <v>45828</v>
      </c>
      <c r="D781" t="inlineStr">
        <is>
          <t>JÖNKÖPINGS LÄN</t>
        </is>
      </c>
      <c r="E781" t="inlineStr">
        <is>
          <t>TRANÅS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30051-2019</t>
        </is>
      </c>
      <c r="B782" s="1" t="n">
        <v>43633</v>
      </c>
      <c r="C782" s="1" t="n">
        <v>45828</v>
      </c>
      <c r="D782" t="inlineStr">
        <is>
          <t>JÖNKÖPINGS LÄN</t>
        </is>
      </c>
      <c r="E782" t="inlineStr">
        <is>
          <t>TRANÅS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29968-2019</t>
        </is>
      </c>
      <c r="B783" s="1" t="n">
        <v>43633</v>
      </c>
      <c r="C783" s="1" t="n">
        <v>45828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29911-2019</t>
        </is>
      </c>
      <c r="B784" s="1" t="n">
        <v>43633</v>
      </c>
      <c r="C784" s="1" t="n">
        <v>45828</v>
      </c>
      <c r="D784" t="inlineStr">
        <is>
          <t>JÖNKÖPINGS LÄN</t>
        </is>
      </c>
      <c r="E784" t="inlineStr">
        <is>
          <t>JÖNKÖPING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30017-2019</t>
        </is>
      </c>
      <c r="B785" s="1" t="n">
        <v>43633</v>
      </c>
      <c r="C785" s="1" t="n">
        <v>45828</v>
      </c>
      <c r="D785" t="inlineStr">
        <is>
          <t>JÖNKÖPINGS LÄN</t>
        </is>
      </c>
      <c r="E785" t="inlineStr">
        <is>
          <t>SÄVSJÖ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30346-2019</t>
        </is>
      </c>
      <c r="B786" s="1" t="n">
        <v>43634</v>
      </c>
      <c r="C786" s="1" t="n">
        <v>45828</v>
      </c>
      <c r="D786" t="inlineStr">
        <is>
          <t>JÖNKÖPINGS LÄN</t>
        </is>
      </c>
      <c r="E786" t="inlineStr">
        <is>
          <t>TRANÅS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30363-2019</t>
        </is>
      </c>
      <c r="B787" s="1" t="n">
        <v>43634</v>
      </c>
      <c r="C787" s="1" t="n">
        <v>45828</v>
      </c>
      <c r="D787" t="inlineStr">
        <is>
          <t>JÖNKÖPINGS LÄN</t>
        </is>
      </c>
      <c r="E787" t="inlineStr">
        <is>
          <t>ANEBY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30463-2019</t>
        </is>
      </c>
      <c r="B788" s="1" t="n">
        <v>43634</v>
      </c>
      <c r="C788" s="1" t="n">
        <v>45828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30239-2019</t>
        </is>
      </c>
      <c r="B789" s="1" t="n">
        <v>43634</v>
      </c>
      <c r="C789" s="1" t="n">
        <v>45828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30584-2019</t>
        </is>
      </c>
      <c r="B790" s="1" t="n">
        <v>43635</v>
      </c>
      <c r="C790" s="1" t="n">
        <v>45828</v>
      </c>
      <c r="D790" t="inlineStr">
        <is>
          <t>JÖNKÖPINGS LÄN</t>
        </is>
      </c>
      <c r="E790" t="inlineStr">
        <is>
          <t>TRANÅS</t>
        </is>
      </c>
      <c r="F790" t="inlineStr">
        <is>
          <t>Allmännings- och besparingsskogar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30600-2019</t>
        </is>
      </c>
      <c r="B791" s="1" t="n">
        <v>43635</v>
      </c>
      <c r="C791" s="1" t="n">
        <v>45828</v>
      </c>
      <c r="D791" t="inlineStr">
        <is>
          <t>JÖNKÖPINGS LÄN</t>
        </is>
      </c>
      <c r="E791" t="inlineStr">
        <is>
          <t>NÄSSJÖ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31219-2019</t>
        </is>
      </c>
      <c r="B792" s="1" t="n">
        <v>43635</v>
      </c>
      <c r="C792" s="1" t="n">
        <v>45828</v>
      </c>
      <c r="D792" t="inlineStr">
        <is>
          <t>JÖNKÖPINGS LÄN</t>
        </is>
      </c>
      <c r="E792" t="inlineStr">
        <is>
          <t>ANEBY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30679-2019</t>
        </is>
      </c>
      <c r="B793" s="1" t="n">
        <v>43636</v>
      </c>
      <c r="C793" s="1" t="n">
        <v>45828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30662-2019</t>
        </is>
      </c>
      <c r="B794" s="1" t="n">
        <v>43636</v>
      </c>
      <c r="C794" s="1" t="n">
        <v>45828</v>
      </c>
      <c r="D794" t="inlineStr">
        <is>
          <t>JÖNKÖPINGS LÄN</t>
        </is>
      </c>
      <c r="E794" t="inlineStr">
        <is>
          <t>NÄSSJÖ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30682-2019</t>
        </is>
      </c>
      <c r="B795" s="1" t="n">
        <v>43636</v>
      </c>
      <c r="C795" s="1" t="n">
        <v>45828</v>
      </c>
      <c r="D795" t="inlineStr">
        <is>
          <t>JÖNKÖPINGS LÄN</t>
        </is>
      </c>
      <c r="E795" t="inlineStr">
        <is>
          <t>NÄSSJÖ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30909-2019</t>
        </is>
      </c>
      <c r="B796" s="1" t="n">
        <v>43636</v>
      </c>
      <c r="C796" s="1" t="n">
        <v>45828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30803-2019</t>
        </is>
      </c>
      <c r="B797" s="1" t="n">
        <v>43636</v>
      </c>
      <c r="C797" s="1" t="n">
        <v>45828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30791-2019</t>
        </is>
      </c>
      <c r="B798" s="1" t="n">
        <v>43636</v>
      </c>
      <c r="C798" s="1" t="n">
        <v>45828</v>
      </c>
      <c r="D798" t="inlineStr">
        <is>
          <t>JÖNKÖPINGS LÄN</t>
        </is>
      </c>
      <c r="E798" t="inlineStr">
        <is>
          <t>VETLANDA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30904-2019</t>
        </is>
      </c>
      <c r="B799" s="1" t="n">
        <v>43636</v>
      </c>
      <c r="C799" s="1" t="n">
        <v>45828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30647-2019</t>
        </is>
      </c>
      <c r="B800" s="1" t="n">
        <v>43636</v>
      </c>
      <c r="C800" s="1" t="n">
        <v>45828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31037-2019</t>
        </is>
      </c>
      <c r="B801" s="1" t="n">
        <v>43636</v>
      </c>
      <c r="C801" s="1" t="n">
        <v>45828</v>
      </c>
      <c r="D801" t="inlineStr">
        <is>
          <t>JÖNKÖPINGS LÄN</t>
        </is>
      </c>
      <c r="E801" t="inlineStr">
        <is>
          <t>VÄRNAMO</t>
        </is>
      </c>
      <c r="F801" t="inlineStr">
        <is>
          <t>Kyrkan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30676-2019</t>
        </is>
      </c>
      <c r="B802" s="1" t="n">
        <v>43636</v>
      </c>
      <c r="C802" s="1" t="n">
        <v>45828</v>
      </c>
      <c r="D802" t="inlineStr">
        <is>
          <t>JÖNKÖPINGS LÄN</t>
        </is>
      </c>
      <c r="E802" t="inlineStr">
        <is>
          <t>NÄSSJÖ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30959-2019</t>
        </is>
      </c>
      <c r="B803" s="1" t="n">
        <v>43639</v>
      </c>
      <c r="C803" s="1" t="n">
        <v>45828</v>
      </c>
      <c r="D803" t="inlineStr">
        <is>
          <t>JÖNKÖPINGS LÄN</t>
        </is>
      </c>
      <c r="E803" t="inlineStr">
        <is>
          <t>VÄRNAMO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31123-2019</t>
        </is>
      </c>
      <c r="B804" s="1" t="n">
        <v>43640</v>
      </c>
      <c r="C804" s="1" t="n">
        <v>45828</v>
      </c>
      <c r="D804" t="inlineStr">
        <is>
          <t>JÖNKÖPINGS LÄN</t>
        </is>
      </c>
      <c r="E804" t="inlineStr">
        <is>
          <t>HABO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31221-2019</t>
        </is>
      </c>
      <c r="B805" s="1" t="n">
        <v>43640</v>
      </c>
      <c r="C805" s="1" t="n">
        <v>45828</v>
      </c>
      <c r="D805" t="inlineStr">
        <is>
          <t>JÖNKÖPINGS LÄN</t>
        </is>
      </c>
      <c r="E805" t="inlineStr">
        <is>
          <t>VÄRNAMO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31246-2019</t>
        </is>
      </c>
      <c r="B806" s="1" t="n">
        <v>43640</v>
      </c>
      <c r="C806" s="1" t="n">
        <v>45828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31212-2019</t>
        </is>
      </c>
      <c r="B807" s="1" t="n">
        <v>43640</v>
      </c>
      <c r="C807" s="1" t="n">
        <v>45828</v>
      </c>
      <c r="D807" t="inlineStr">
        <is>
          <t>JÖNKÖPINGS LÄN</t>
        </is>
      </c>
      <c r="E807" t="inlineStr">
        <is>
          <t>ANEBY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31333-2019</t>
        </is>
      </c>
      <c r="B808" s="1" t="n">
        <v>43641</v>
      </c>
      <c r="C808" s="1" t="n">
        <v>45828</v>
      </c>
      <c r="D808" t="inlineStr">
        <is>
          <t>JÖNKÖPINGS LÄN</t>
        </is>
      </c>
      <c r="E808" t="inlineStr">
        <is>
          <t>ANEBY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31410-2019</t>
        </is>
      </c>
      <c r="B809" s="1" t="n">
        <v>43641</v>
      </c>
      <c r="C809" s="1" t="n">
        <v>45828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31344-2019</t>
        </is>
      </c>
      <c r="B810" s="1" t="n">
        <v>43641</v>
      </c>
      <c r="C810" s="1" t="n">
        <v>45828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31458-2019</t>
        </is>
      </c>
      <c r="B811" s="1" t="n">
        <v>43641</v>
      </c>
      <c r="C811" s="1" t="n">
        <v>45828</v>
      </c>
      <c r="D811" t="inlineStr">
        <is>
          <t>JÖNKÖPINGS LÄN</t>
        </is>
      </c>
      <c r="E811" t="inlineStr">
        <is>
          <t>ANEBY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31408-2019</t>
        </is>
      </c>
      <c r="B812" s="1" t="n">
        <v>43641</v>
      </c>
      <c r="C812" s="1" t="n">
        <v>45828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31724-2019</t>
        </is>
      </c>
      <c r="B813" s="1" t="n">
        <v>43642</v>
      </c>
      <c r="C813" s="1" t="n">
        <v>45828</v>
      </c>
      <c r="D813" t="inlineStr">
        <is>
          <t>JÖNKÖPINGS LÄN</t>
        </is>
      </c>
      <c r="E813" t="inlineStr">
        <is>
          <t>EKSJÖ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31726-2019</t>
        </is>
      </c>
      <c r="B814" s="1" t="n">
        <v>43642</v>
      </c>
      <c r="C814" s="1" t="n">
        <v>45828</v>
      </c>
      <c r="D814" t="inlineStr">
        <is>
          <t>JÖNKÖPINGS LÄN</t>
        </is>
      </c>
      <c r="E814" t="inlineStr">
        <is>
          <t>EKSJÖ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31819-2019</t>
        </is>
      </c>
      <c r="B815" s="1" t="n">
        <v>43642</v>
      </c>
      <c r="C815" s="1" t="n">
        <v>45828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31858-2019</t>
        </is>
      </c>
      <c r="B816" s="1" t="n">
        <v>43642</v>
      </c>
      <c r="C816" s="1" t="n">
        <v>45828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32181-2019</t>
        </is>
      </c>
      <c r="B817" s="1" t="n">
        <v>43643</v>
      </c>
      <c r="C817" s="1" t="n">
        <v>45828</v>
      </c>
      <c r="D817" t="inlineStr">
        <is>
          <t>JÖNKÖPINGS LÄN</t>
        </is>
      </c>
      <c r="E817" t="inlineStr">
        <is>
          <t>GISLAVED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32176-2019</t>
        </is>
      </c>
      <c r="B818" s="1" t="n">
        <v>43643</v>
      </c>
      <c r="C818" s="1" t="n">
        <v>45828</v>
      </c>
      <c r="D818" t="inlineStr">
        <is>
          <t>JÖNKÖPINGS LÄN</t>
        </is>
      </c>
      <c r="E818" t="inlineStr">
        <is>
          <t>NÄSSJÖ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32235-2019</t>
        </is>
      </c>
      <c r="B819" s="1" t="n">
        <v>43644</v>
      </c>
      <c r="C819" s="1" t="n">
        <v>45828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32241-2019</t>
        </is>
      </c>
      <c r="B820" s="1" t="n">
        <v>43644</v>
      </c>
      <c r="C820" s="1" t="n">
        <v>45828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32237-2019</t>
        </is>
      </c>
      <c r="B821" s="1" t="n">
        <v>43644</v>
      </c>
      <c r="C821" s="1" t="n">
        <v>45828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32304-2019</t>
        </is>
      </c>
      <c r="B822" s="1" t="n">
        <v>43644</v>
      </c>
      <c r="C822" s="1" t="n">
        <v>45828</v>
      </c>
      <c r="D822" t="inlineStr">
        <is>
          <t>JÖNKÖPINGS LÄN</t>
        </is>
      </c>
      <c r="E822" t="inlineStr">
        <is>
          <t>SÄVSJÖ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32504-2019</t>
        </is>
      </c>
      <c r="B823" s="1" t="n">
        <v>43644</v>
      </c>
      <c r="C823" s="1" t="n">
        <v>45828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34631-2019</t>
        </is>
      </c>
      <c r="B824" s="1" t="n">
        <v>43647</v>
      </c>
      <c r="C824" s="1" t="n">
        <v>45828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34629-2019</t>
        </is>
      </c>
      <c r="B825" s="1" t="n">
        <v>43647</v>
      </c>
      <c r="C825" s="1" t="n">
        <v>45828</v>
      </c>
      <c r="D825" t="inlineStr">
        <is>
          <t>JÖNKÖPINGS LÄN</t>
        </is>
      </c>
      <c r="E825" t="inlineStr">
        <is>
          <t>ANEBY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34640-2019</t>
        </is>
      </c>
      <c r="B826" s="1" t="n">
        <v>43647</v>
      </c>
      <c r="C826" s="1" t="n">
        <v>45828</v>
      </c>
      <c r="D826" t="inlineStr">
        <is>
          <t>JÖNKÖPINGS LÄN</t>
        </is>
      </c>
      <c r="E826" t="inlineStr">
        <is>
          <t>EKSJÖ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32567-2019</t>
        </is>
      </c>
      <c r="B827" s="1" t="n">
        <v>43647</v>
      </c>
      <c r="C827" s="1" t="n">
        <v>45828</v>
      </c>
      <c r="D827" t="inlineStr">
        <is>
          <t>JÖNKÖPINGS LÄN</t>
        </is>
      </c>
      <c r="E827" t="inlineStr">
        <is>
          <t>EKSJÖ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34639-2019</t>
        </is>
      </c>
      <c r="B828" s="1" t="n">
        <v>43647</v>
      </c>
      <c r="C828" s="1" t="n">
        <v>45828</v>
      </c>
      <c r="D828" t="inlineStr">
        <is>
          <t>JÖNKÖPINGS LÄN</t>
        </is>
      </c>
      <c r="E828" t="inlineStr">
        <is>
          <t>EKSJÖ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34633-2019</t>
        </is>
      </c>
      <c r="B829" s="1" t="n">
        <v>43647</v>
      </c>
      <c r="C829" s="1" t="n">
        <v>45828</v>
      </c>
      <c r="D829" t="inlineStr">
        <is>
          <t>JÖNKÖPINGS LÄN</t>
        </is>
      </c>
      <c r="E829" t="inlineStr">
        <is>
          <t>ANEBY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32940-2019</t>
        </is>
      </c>
      <c r="B830" s="1" t="n">
        <v>43648</v>
      </c>
      <c r="C830" s="1" t="n">
        <v>45828</v>
      </c>
      <c r="D830" t="inlineStr">
        <is>
          <t>JÖNKÖPINGS LÄN</t>
        </is>
      </c>
      <c r="E830" t="inlineStr">
        <is>
          <t>VAGGERYD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32938-2019</t>
        </is>
      </c>
      <c r="B831" s="1" t="n">
        <v>43648</v>
      </c>
      <c r="C831" s="1" t="n">
        <v>45828</v>
      </c>
      <c r="D831" t="inlineStr">
        <is>
          <t>JÖNKÖPINGS LÄN</t>
        </is>
      </c>
      <c r="E831" t="inlineStr">
        <is>
          <t>VAGGERYD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32953-2019</t>
        </is>
      </c>
      <c r="B832" s="1" t="n">
        <v>43648</v>
      </c>
      <c r="C832" s="1" t="n">
        <v>45828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33098-2019</t>
        </is>
      </c>
      <c r="B833" s="1" t="n">
        <v>43649</v>
      </c>
      <c r="C833" s="1" t="n">
        <v>45828</v>
      </c>
      <c r="D833" t="inlineStr">
        <is>
          <t>JÖNKÖPINGS LÄN</t>
        </is>
      </c>
      <c r="E833" t="inlineStr">
        <is>
          <t>VÄRNAMO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33100-2019</t>
        </is>
      </c>
      <c r="B834" s="1" t="n">
        <v>43649</v>
      </c>
      <c r="C834" s="1" t="n">
        <v>45828</v>
      </c>
      <c r="D834" t="inlineStr">
        <is>
          <t>JÖNKÖPINGS LÄN</t>
        </is>
      </c>
      <c r="E834" t="inlineStr">
        <is>
          <t>VÄRNAMO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32992-2019</t>
        </is>
      </c>
      <c r="B835" s="1" t="n">
        <v>43649</v>
      </c>
      <c r="C835" s="1" t="n">
        <v>45828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33293-2019</t>
        </is>
      </c>
      <c r="B836" s="1" t="n">
        <v>43650</v>
      </c>
      <c r="C836" s="1" t="n">
        <v>45828</v>
      </c>
      <c r="D836" t="inlineStr">
        <is>
          <t>JÖNKÖPINGS LÄN</t>
        </is>
      </c>
      <c r="E836" t="inlineStr">
        <is>
          <t>GISLAVED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33329-2019</t>
        </is>
      </c>
      <c r="B837" s="1" t="n">
        <v>43650</v>
      </c>
      <c r="C837" s="1" t="n">
        <v>45828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33288-2019</t>
        </is>
      </c>
      <c r="B838" s="1" t="n">
        <v>43650</v>
      </c>
      <c r="C838" s="1" t="n">
        <v>45828</v>
      </c>
      <c r="D838" t="inlineStr">
        <is>
          <t>JÖNKÖPINGS LÄN</t>
        </is>
      </c>
      <c r="E838" t="inlineStr">
        <is>
          <t>GISLAVED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33325-2019</t>
        </is>
      </c>
      <c r="B839" s="1" t="n">
        <v>43650</v>
      </c>
      <c r="C839" s="1" t="n">
        <v>45828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33351-2019</t>
        </is>
      </c>
      <c r="B840" s="1" t="n">
        <v>43650</v>
      </c>
      <c r="C840" s="1" t="n">
        <v>45828</v>
      </c>
      <c r="D840" t="inlineStr">
        <is>
          <t>JÖNKÖPINGS LÄN</t>
        </is>
      </c>
      <c r="E840" t="inlineStr">
        <is>
          <t>GISLAVED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33226-2019</t>
        </is>
      </c>
      <c r="B841" s="1" t="n">
        <v>43650</v>
      </c>
      <c r="C841" s="1" t="n">
        <v>45828</v>
      </c>
      <c r="D841" t="inlineStr">
        <is>
          <t>JÖNKÖPINGS LÄN</t>
        </is>
      </c>
      <c r="E841" t="inlineStr">
        <is>
          <t>MULLSJÖ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33620-2019</t>
        </is>
      </c>
      <c r="B842" s="1" t="n">
        <v>43651</v>
      </c>
      <c r="C842" s="1" t="n">
        <v>45828</v>
      </c>
      <c r="D842" t="inlineStr">
        <is>
          <t>JÖNKÖPINGS LÄN</t>
        </is>
      </c>
      <c r="E842" t="inlineStr">
        <is>
          <t>ANEBY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33770-2019</t>
        </is>
      </c>
      <c r="B843" s="1" t="n">
        <v>43651</v>
      </c>
      <c r="C843" s="1" t="n">
        <v>45828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33775-2019</t>
        </is>
      </c>
      <c r="B844" s="1" t="n">
        <v>43651</v>
      </c>
      <c r="C844" s="1" t="n">
        <v>45828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35392-2019</t>
        </is>
      </c>
      <c r="B845" s="1" t="n">
        <v>43651</v>
      </c>
      <c r="C845" s="1" t="n">
        <v>45828</v>
      </c>
      <c r="D845" t="inlineStr">
        <is>
          <t>JÖNKÖPINGS LÄN</t>
        </is>
      </c>
      <c r="E845" t="inlineStr">
        <is>
          <t>EKSJÖ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35390-2019</t>
        </is>
      </c>
      <c r="B846" s="1" t="n">
        <v>43651</v>
      </c>
      <c r="C846" s="1" t="n">
        <v>45828</v>
      </c>
      <c r="D846" t="inlineStr">
        <is>
          <t>JÖNKÖPINGS LÄN</t>
        </is>
      </c>
      <c r="E846" t="inlineStr">
        <is>
          <t>EKSJÖ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35399-2019</t>
        </is>
      </c>
      <c r="B847" s="1" t="n">
        <v>43651</v>
      </c>
      <c r="C847" s="1" t="n">
        <v>45828</v>
      </c>
      <c r="D847" t="inlineStr">
        <is>
          <t>JÖNKÖPINGS LÄN</t>
        </is>
      </c>
      <c r="E847" t="inlineStr">
        <is>
          <t>EKSJÖ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35494-2019</t>
        </is>
      </c>
      <c r="B848" s="1" t="n">
        <v>43651</v>
      </c>
      <c r="C848" s="1" t="n">
        <v>45828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35489-2019</t>
        </is>
      </c>
      <c r="B849" s="1" t="n">
        <v>43651</v>
      </c>
      <c r="C849" s="1" t="n">
        <v>45828</v>
      </c>
      <c r="D849" t="inlineStr">
        <is>
          <t>JÖNKÖPINGS LÄN</t>
        </is>
      </c>
      <c r="E849" t="inlineStr">
        <is>
          <t>VETLANDA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34020-2019</t>
        </is>
      </c>
      <c r="B850" s="1" t="n">
        <v>43654</v>
      </c>
      <c r="C850" s="1" t="n">
        <v>45828</v>
      </c>
      <c r="D850" t="inlineStr">
        <is>
          <t>JÖNKÖPINGS LÄN</t>
        </is>
      </c>
      <c r="E850" t="inlineStr">
        <is>
          <t>JÖNKÖPING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33982-2019</t>
        </is>
      </c>
      <c r="B851" s="1" t="n">
        <v>43654</v>
      </c>
      <c r="C851" s="1" t="n">
        <v>45828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34064-2019</t>
        </is>
      </c>
      <c r="B852" s="1" t="n">
        <v>43654</v>
      </c>
      <c r="C852" s="1" t="n">
        <v>45828</v>
      </c>
      <c r="D852" t="inlineStr">
        <is>
          <t>JÖNKÖPINGS LÄN</t>
        </is>
      </c>
      <c r="E852" t="inlineStr">
        <is>
          <t>MULLSJÖ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34068-2019</t>
        </is>
      </c>
      <c r="B853" s="1" t="n">
        <v>43654</v>
      </c>
      <c r="C853" s="1" t="n">
        <v>45828</v>
      </c>
      <c r="D853" t="inlineStr">
        <is>
          <t>JÖNKÖPINGS LÄN</t>
        </is>
      </c>
      <c r="E853" t="inlineStr">
        <is>
          <t>HABO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35543-2019</t>
        </is>
      </c>
      <c r="B854" s="1" t="n">
        <v>43654</v>
      </c>
      <c r="C854" s="1" t="n">
        <v>45828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34193-2019</t>
        </is>
      </c>
      <c r="B855" s="1" t="n">
        <v>43655</v>
      </c>
      <c r="C855" s="1" t="n">
        <v>45828</v>
      </c>
      <c r="D855" t="inlineStr">
        <is>
          <t>JÖNKÖPINGS LÄN</t>
        </is>
      </c>
      <c r="E855" t="inlineStr">
        <is>
          <t>MULLSJÖ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34287-2019</t>
        </is>
      </c>
      <c r="B856" s="1" t="n">
        <v>43655</v>
      </c>
      <c r="C856" s="1" t="n">
        <v>45828</v>
      </c>
      <c r="D856" t="inlineStr">
        <is>
          <t>JÖNKÖPINGS LÄN</t>
        </is>
      </c>
      <c r="E856" t="inlineStr">
        <is>
          <t>ANEBY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34387-2019</t>
        </is>
      </c>
      <c r="B857" s="1" t="n">
        <v>43656</v>
      </c>
      <c r="C857" s="1" t="n">
        <v>45828</v>
      </c>
      <c r="D857" t="inlineStr">
        <is>
          <t>JÖNKÖPINGS LÄN</t>
        </is>
      </c>
      <c r="E857" t="inlineStr">
        <is>
          <t>GISLAVED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34380-2019</t>
        </is>
      </c>
      <c r="B858" s="1" t="n">
        <v>43656</v>
      </c>
      <c r="C858" s="1" t="n">
        <v>45828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34408-2019</t>
        </is>
      </c>
      <c r="B859" s="1" t="n">
        <v>43656</v>
      </c>
      <c r="C859" s="1" t="n">
        <v>45828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34410-2019</t>
        </is>
      </c>
      <c r="B860" s="1" t="n">
        <v>43656</v>
      </c>
      <c r="C860" s="1" t="n">
        <v>45828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35830-2019</t>
        </is>
      </c>
      <c r="B861" s="1" t="n">
        <v>43656</v>
      </c>
      <c r="C861" s="1" t="n">
        <v>45828</v>
      </c>
      <c r="D861" t="inlineStr">
        <is>
          <t>JÖNKÖPINGS LÄN</t>
        </is>
      </c>
      <c r="E861" t="inlineStr">
        <is>
          <t>ANEBY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35935-2019</t>
        </is>
      </c>
      <c r="B862" s="1" t="n">
        <v>43656</v>
      </c>
      <c r="C862" s="1" t="n">
        <v>45828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35946-2019</t>
        </is>
      </c>
      <c r="B863" s="1" t="n">
        <v>43656</v>
      </c>
      <c r="C863" s="1" t="n">
        <v>45828</v>
      </c>
      <c r="D863" t="inlineStr">
        <is>
          <t>JÖNKÖPINGS LÄN</t>
        </is>
      </c>
      <c r="E863" t="inlineStr">
        <is>
          <t>VETLANDA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34399-2019</t>
        </is>
      </c>
      <c r="B864" s="1" t="n">
        <v>43656</v>
      </c>
      <c r="C864" s="1" t="n">
        <v>45828</v>
      </c>
      <c r="D864" t="inlineStr">
        <is>
          <t>JÖNKÖPINGS LÄN</t>
        </is>
      </c>
      <c r="E864" t="inlineStr">
        <is>
          <t>MULLSJÖ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35839-2019</t>
        </is>
      </c>
      <c r="B865" s="1" t="n">
        <v>43656</v>
      </c>
      <c r="C865" s="1" t="n">
        <v>45828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35849-2019</t>
        </is>
      </c>
      <c r="B866" s="1" t="n">
        <v>43656</v>
      </c>
      <c r="C866" s="1" t="n">
        <v>45828</v>
      </c>
      <c r="D866" t="inlineStr">
        <is>
          <t>JÖNKÖPINGS LÄN</t>
        </is>
      </c>
      <c r="E866" t="inlineStr">
        <is>
          <t>ANEBY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35910-2019</t>
        </is>
      </c>
      <c r="B867" s="1" t="n">
        <v>43656</v>
      </c>
      <c r="C867" s="1" t="n">
        <v>45828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35945-2019</t>
        </is>
      </c>
      <c r="B868" s="1" t="n">
        <v>43656</v>
      </c>
      <c r="C868" s="1" t="n">
        <v>45828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35807-2019</t>
        </is>
      </c>
      <c r="B869" s="1" t="n">
        <v>43656</v>
      </c>
      <c r="C869" s="1" t="n">
        <v>45828</v>
      </c>
      <c r="D869" t="inlineStr">
        <is>
          <t>JÖNKÖPINGS LÄN</t>
        </is>
      </c>
      <c r="E869" t="inlineStr">
        <is>
          <t>ANEBY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35942-2019</t>
        </is>
      </c>
      <c r="B870" s="1" t="n">
        <v>43656</v>
      </c>
      <c r="C870" s="1" t="n">
        <v>45828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35837-2019</t>
        </is>
      </c>
      <c r="B871" s="1" t="n">
        <v>43656</v>
      </c>
      <c r="C871" s="1" t="n">
        <v>45828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35847-2019</t>
        </is>
      </c>
      <c r="B872" s="1" t="n">
        <v>43656</v>
      </c>
      <c r="C872" s="1" t="n">
        <v>45828</v>
      </c>
      <c r="D872" t="inlineStr">
        <is>
          <t>JÖNKÖPINGS LÄN</t>
        </is>
      </c>
      <c r="E872" t="inlineStr">
        <is>
          <t>ANEBY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35944-2019</t>
        </is>
      </c>
      <c r="B873" s="1" t="n">
        <v>43656</v>
      </c>
      <c r="C873" s="1" t="n">
        <v>45828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35903-2019</t>
        </is>
      </c>
      <c r="B874" s="1" t="n">
        <v>43656</v>
      </c>
      <c r="C874" s="1" t="n">
        <v>45828</v>
      </c>
      <c r="D874" t="inlineStr">
        <is>
          <t>JÖNKÖPINGS LÄN</t>
        </is>
      </c>
      <c r="E874" t="inlineStr">
        <is>
          <t>VETLANDA</t>
        </is>
      </c>
      <c r="F874" t="inlineStr">
        <is>
          <t>Kyrkan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34507-2019</t>
        </is>
      </c>
      <c r="B875" s="1" t="n">
        <v>43657</v>
      </c>
      <c r="C875" s="1" t="n">
        <v>45828</v>
      </c>
      <c r="D875" t="inlineStr">
        <is>
          <t>JÖNKÖPINGS LÄN</t>
        </is>
      </c>
      <c r="E875" t="inlineStr">
        <is>
          <t>MULLSJÖ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34642-2019</t>
        </is>
      </c>
      <c r="B876" s="1" t="n">
        <v>43657</v>
      </c>
      <c r="C876" s="1" t="n">
        <v>45828</v>
      </c>
      <c r="D876" t="inlineStr">
        <is>
          <t>JÖNKÖPINGS LÄN</t>
        </is>
      </c>
      <c r="E876" t="inlineStr">
        <is>
          <t>GISLAVED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34510-2019</t>
        </is>
      </c>
      <c r="B877" s="1" t="n">
        <v>43657</v>
      </c>
      <c r="C877" s="1" t="n">
        <v>45828</v>
      </c>
      <c r="D877" t="inlineStr">
        <is>
          <t>JÖNKÖPINGS LÄN</t>
        </is>
      </c>
      <c r="E877" t="inlineStr">
        <is>
          <t>MULLSJÖ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34785-2019</t>
        </is>
      </c>
      <c r="B878" s="1" t="n">
        <v>43658</v>
      </c>
      <c r="C878" s="1" t="n">
        <v>45828</v>
      </c>
      <c r="D878" t="inlineStr">
        <is>
          <t>JÖNKÖPINGS LÄN</t>
        </is>
      </c>
      <c r="E878" t="inlineStr">
        <is>
          <t>HABO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34775-2019</t>
        </is>
      </c>
      <c r="B879" s="1" t="n">
        <v>43658</v>
      </c>
      <c r="C879" s="1" t="n">
        <v>45828</v>
      </c>
      <c r="D879" t="inlineStr">
        <is>
          <t>JÖNKÖPINGS LÄN</t>
        </is>
      </c>
      <c r="E879" t="inlineStr">
        <is>
          <t>VETLANDA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35015-2019</t>
        </is>
      </c>
      <c r="B880" s="1" t="n">
        <v>43661</v>
      </c>
      <c r="C880" s="1" t="n">
        <v>45828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35117-2019</t>
        </is>
      </c>
      <c r="B881" s="1" t="n">
        <v>43661</v>
      </c>
      <c r="C881" s="1" t="n">
        <v>45828</v>
      </c>
      <c r="D881" t="inlineStr">
        <is>
          <t>JÖNKÖPINGS LÄN</t>
        </is>
      </c>
      <c r="E881" t="inlineStr">
        <is>
          <t>VETLANDA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36341-2019</t>
        </is>
      </c>
      <c r="B882" s="1" t="n">
        <v>43661</v>
      </c>
      <c r="C882" s="1" t="n">
        <v>45828</v>
      </c>
      <c r="D882" t="inlineStr">
        <is>
          <t>JÖNKÖPINGS LÄN</t>
        </is>
      </c>
      <c r="E882" t="inlineStr">
        <is>
          <t>EKSJÖ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35163-2019</t>
        </is>
      </c>
      <c r="B883" s="1" t="n">
        <v>43661</v>
      </c>
      <c r="C883" s="1" t="n">
        <v>45828</v>
      </c>
      <c r="D883" t="inlineStr">
        <is>
          <t>JÖNKÖPINGS LÄN</t>
        </is>
      </c>
      <c r="E883" t="inlineStr">
        <is>
          <t>SÄVSJÖ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35275-2019</t>
        </is>
      </c>
      <c r="B884" s="1" t="n">
        <v>43662</v>
      </c>
      <c r="C884" s="1" t="n">
        <v>45828</v>
      </c>
      <c r="D884" t="inlineStr">
        <is>
          <t>JÖNKÖPINGS LÄN</t>
        </is>
      </c>
      <c r="E884" t="inlineStr">
        <is>
          <t>JÖNKÖPING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35309-2019</t>
        </is>
      </c>
      <c r="B885" s="1" t="n">
        <v>43662</v>
      </c>
      <c r="C885" s="1" t="n">
        <v>45828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35310-2019</t>
        </is>
      </c>
      <c r="B886" s="1" t="n">
        <v>43662</v>
      </c>
      <c r="C886" s="1" t="n">
        <v>45828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36433-2019</t>
        </is>
      </c>
      <c r="B887" s="1" t="n">
        <v>43663</v>
      </c>
      <c r="C887" s="1" t="n">
        <v>45828</v>
      </c>
      <c r="D887" t="inlineStr">
        <is>
          <t>JÖNKÖPINGS LÄN</t>
        </is>
      </c>
      <c r="E887" t="inlineStr">
        <is>
          <t>JÖNKÖPING</t>
        </is>
      </c>
      <c r="G887" t="n">
        <v>20.5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35411-2019</t>
        </is>
      </c>
      <c r="B888" s="1" t="n">
        <v>43663</v>
      </c>
      <c r="C888" s="1" t="n">
        <v>45828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35477-2019</t>
        </is>
      </c>
      <c r="B889" s="1" t="n">
        <v>43663</v>
      </c>
      <c r="C889" s="1" t="n">
        <v>45828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35574-2019</t>
        </is>
      </c>
      <c r="B890" s="1" t="n">
        <v>43664</v>
      </c>
      <c r="C890" s="1" t="n">
        <v>45828</v>
      </c>
      <c r="D890" t="inlineStr">
        <is>
          <t>JÖNKÖPINGS LÄN</t>
        </is>
      </c>
      <c r="E890" t="inlineStr">
        <is>
          <t>GISLAVED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35528-2019</t>
        </is>
      </c>
      <c r="B891" s="1" t="n">
        <v>43664</v>
      </c>
      <c r="C891" s="1" t="n">
        <v>45828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35618-2019</t>
        </is>
      </c>
      <c r="B892" s="1" t="n">
        <v>43664</v>
      </c>
      <c r="C892" s="1" t="n">
        <v>45828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35821-2019</t>
        </is>
      </c>
      <c r="B893" s="1" t="n">
        <v>43665</v>
      </c>
      <c r="C893" s="1" t="n">
        <v>45828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35914-2019</t>
        </is>
      </c>
      <c r="B894" s="1" t="n">
        <v>43665</v>
      </c>
      <c r="C894" s="1" t="n">
        <v>45828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35760-2019</t>
        </is>
      </c>
      <c r="B895" s="1" t="n">
        <v>43665</v>
      </c>
      <c r="C895" s="1" t="n">
        <v>45828</v>
      </c>
      <c r="D895" t="inlineStr">
        <is>
          <t>JÖNKÖPINGS LÄN</t>
        </is>
      </c>
      <c r="E895" t="inlineStr">
        <is>
          <t>VETLANDA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35904-2019</t>
        </is>
      </c>
      <c r="B896" s="1" t="n">
        <v>43665</v>
      </c>
      <c r="C896" s="1" t="n">
        <v>45828</v>
      </c>
      <c r="D896" t="inlineStr">
        <is>
          <t>JÖNKÖPINGS LÄN</t>
        </is>
      </c>
      <c r="E896" t="inlineStr">
        <is>
          <t>VETLANDA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35925-2019</t>
        </is>
      </c>
      <c r="B897" s="1" t="n">
        <v>43665</v>
      </c>
      <c r="C897" s="1" t="n">
        <v>45828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35815-2019</t>
        </is>
      </c>
      <c r="B898" s="1" t="n">
        <v>43665</v>
      </c>
      <c r="C898" s="1" t="n">
        <v>45828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35876-2019</t>
        </is>
      </c>
      <c r="B899" s="1" t="n">
        <v>43665</v>
      </c>
      <c r="C899" s="1" t="n">
        <v>45828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35902-2019</t>
        </is>
      </c>
      <c r="B900" s="1" t="n">
        <v>43665</v>
      </c>
      <c r="C900" s="1" t="n">
        <v>45828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36089-2019</t>
        </is>
      </c>
      <c r="B901" s="1" t="n">
        <v>43668</v>
      </c>
      <c r="C901" s="1" t="n">
        <v>45828</v>
      </c>
      <c r="D901" t="inlineStr">
        <is>
          <t>JÖNKÖPINGS LÄN</t>
        </is>
      </c>
      <c r="E901" t="inlineStr">
        <is>
          <t>VAGGERYD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36166-2019</t>
        </is>
      </c>
      <c r="B902" s="1" t="n">
        <v>43668</v>
      </c>
      <c r="C902" s="1" t="n">
        <v>45828</v>
      </c>
      <c r="D902" t="inlineStr">
        <is>
          <t>JÖNKÖPINGS LÄN</t>
        </is>
      </c>
      <c r="E902" t="inlineStr">
        <is>
          <t>TRANÅS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36598-2019</t>
        </is>
      </c>
      <c r="B903" s="1" t="n">
        <v>43669</v>
      </c>
      <c r="C903" s="1" t="n">
        <v>45828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36434-2019</t>
        </is>
      </c>
      <c r="B904" s="1" t="n">
        <v>43670</v>
      </c>
      <c r="C904" s="1" t="n">
        <v>45828</v>
      </c>
      <c r="D904" t="inlineStr">
        <is>
          <t>JÖNKÖPINGS LÄN</t>
        </is>
      </c>
      <c r="E904" t="inlineStr">
        <is>
          <t>NÄSSJÖ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36661-2019</t>
        </is>
      </c>
      <c r="B905" s="1" t="n">
        <v>43671</v>
      </c>
      <c r="C905" s="1" t="n">
        <v>45828</v>
      </c>
      <c r="D905" t="inlineStr">
        <is>
          <t>JÖNKÖPINGS LÄN</t>
        </is>
      </c>
      <c r="E905" t="inlineStr">
        <is>
          <t>JÖNKÖPING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36658-2019</t>
        </is>
      </c>
      <c r="B906" s="1" t="n">
        <v>43671</v>
      </c>
      <c r="C906" s="1" t="n">
        <v>45828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36805-2019</t>
        </is>
      </c>
      <c r="B907" s="1" t="n">
        <v>43672</v>
      </c>
      <c r="C907" s="1" t="n">
        <v>45828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36799-2019</t>
        </is>
      </c>
      <c r="B908" s="1" t="n">
        <v>43672</v>
      </c>
      <c r="C908" s="1" t="n">
        <v>45828</v>
      </c>
      <c r="D908" t="inlineStr">
        <is>
          <t>JÖNKÖPINGS LÄN</t>
        </is>
      </c>
      <c r="E908" t="inlineStr">
        <is>
          <t>MULLSJÖ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36922-2019</t>
        </is>
      </c>
      <c r="B909" s="1" t="n">
        <v>43675</v>
      </c>
      <c r="C909" s="1" t="n">
        <v>45828</v>
      </c>
      <c r="D909" t="inlineStr">
        <is>
          <t>JÖNKÖPINGS LÄN</t>
        </is>
      </c>
      <c r="E909" t="inlineStr">
        <is>
          <t>VAGGERYD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36921-2019</t>
        </is>
      </c>
      <c r="B910" s="1" t="n">
        <v>43675</v>
      </c>
      <c r="C910" s="1" t="n">
        <v>45828</v>
      </c>
      <c r="D910" t="inlineStr">
        <is>
          <t>JÖNKÖPINGS LÄN</t>
        </is>
      </c>
      <c r="E910" t="inlineStr">
        <is>
          <t>GNOSJÖ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36874-2019</t>
        </is>
      </c>
      <c r="B911" s="1" t="n">
        <v>43675</v>
      </c>
      <c r="C911" s="1" t="n">
        <v>45828</v>
      </c>
      <c r="D911" t="inlineStr">
        <is>
          <t>JÖNKÖPINGS LÄN</t>
        </is>
      </c>
      <c r="E911" t="inlineStr">
        <is>
          <t>GNOSJÖ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36903-2019</t>
        </is>
      </c>
      <c r="B912" s="1" t="n">
        <v>43675</v>
      </c>
      <c r="C912" s="1" t="n">
        <v>45828</v>
      </c>
      <c r="D912" t="inlineStr">
        <is>
          <t>JÖNKÖPINGS LÄN</t>
        </is>
      </c>
      <c r="E912" t="inlineStr">
        <is>
          <t>GNOSJÖ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36919-2019</t>
        </is>
      </c>
      <c r="B913" s="1" t="n">
        <v>43675</v>
      </c>
      <c r="C913" s="1" t="n">
        <v>45828</v>
      </c>
      <c r="D913" t="inlineStr">
        <is>
          <t>JÖNKÖPINGS LÄN</t>
        </is>
      </c>
      <c r="E913" t="inlineStr">
        <is>
          <t>GNOSJÖ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37047-2019</t>
        </is>
      </c>
      <c r="B914" s="1" t="n">
        <v>43676</v>
      </c>
      <c r="C914" s="1" t="n">
        <v>45828</v>
      </c>
      <c r="D914" t="inlineStr">
        <is>
          <t>JÖNKÖPINGS LÄN</t>
        </is>
      </c>
      <c r="E914" t="inlineStr">
        <is>
          <t>TRANÅS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37200-2019</t>
        </is>
      </c>
      <c r="B915" s="1" t="n">
        <v>43676</v>
      </c>
      <c r="C915" s="1" t="n">
        <v>45828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37043-2019</t>
        </is>
      </c>
      <c r="B916" s="1" t="n">
        <v>43676</v>
      </c>
      <c r="C916" s="1" t="n">
        <v>45828</v>
      </c>
      <c r="D916" t="inlineStr">
        <is>
          <t>JÖNKÖPINGS LÄN</t>
        </is>
      </c>
      <c r="E916" t="inlineStr">
        <is>
          <t>EKSJÖ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37262-2019</t>
        </is>
      </c>
      <c r="B917" s="1" t="n">
        <v>43677</v>
      </c>
      <c r="C917" s="1" t="n">
        <v>45828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37267-2019</t>
        </is>
      </c>
      <c r="B918" s="1" t="n">
        <v>43677</v>
      </c>
      <c r="C918" s="1" t="n">
        <v>45828</v>
      </c>
      <c r="D918" t="inlineStr">
        <is>
          <t>JÖNKÖPINGS LÄN</t>
        </is>
      </c>
      <c r="E918" t="inlineStr">
        <is>
          <t>JÖNKÖPING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37395-2019</t>
        </is>
      </c>
      <c r="B919" s="1" t="n">
        <v>43678</v>
      </c>
      <c r="C919" s="1" t="n">
        <v>45828</v>
      </c>
      <c r="D919" t="inlineStr">
        <is>
          <t>JÖNKÖPINGS LÄN</t>
        </is>
      </c>
      <c r="E919" t="inlineStr">
        <is>
          <t>TRANÅS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37445-2019</t>
        </is>
      </c>
      <c r="B920" s="1" t="n">
        <v>43679</v>
      </c>
      <c r="C920" s="1" t="n">
        <v>45828</v>
      </c>
      <c r="D920" t="inlineStr">
        <is>
          <t>JÖNKÖPINGS LÄN</t>
        </is>
      </c>
      <c r="E920" t="inlineStr">
        <is>
          <t>TRANÅS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37557-2019</t>
        </is>
      </c>
      <c r="B921" s="1" t="n">
        <v>43679</v>
      </c>
      <c r="C921" s="1" t="n">
        <v>45828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37569-2019</t>
        </is>
      </c>
      <c r="B922" s="1" t="n">
        <v>43679</v>
      </c>
      <c r="C922" s="1" t="n">
        <v>45828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37453-2019</t>
        </is>
      </c>
      <c r="B923" s="1" t="n">
        <v>43679</v>
      </c>
      <c r="C923" s="1" t="n">
        <v>45828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37451-2019</t>
        </is>
      </c>
      <c r="B924" s="1" t="n">
        <v>43679</v>
      </c>
      <c r="C924" s="1" t="n">
        <v>45828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37736-2019</t>
        </is>
      </c>
      <c r="B925" s="1" t="n">
        <v>43682</v>
      </c>
      <c r="C925" s="1" t="n">
        <v>45828</v>
      </c>
      <c r="D925" t="inlineStr">
        <is>
          <t>JÖNKÖPINGS LÄN</t>
        </is>
      </c>
      <c r="E925" t="inlineStr">
        <is>
          <t>TRANÅS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37696-2019</t>
        </is>
      </c>
      <c r="B926" s="1" t="n">
        <v>43682</v>
      </c>
      <c r="C926" s="1" t="n">
        <v>45828</v>
      </c>
      <c r="D926" t="inlineStr">
        <is>
          <t>JÖNKÖPINGS LÄN</t>
        </is>
      </c>
      <c r="E926" t="inlineStr">
        <is>
          <t>SÄVSJÖ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37693-2019</t>
        </is>
      </c>
      <c r="B927" s="1" t="n">
        <v>43682</v>
      </c>
      <c r="C927" s="1" t="n">
        <v>45828</v>
      </c>
      <c r="D927" t="inlineStr">
        <is>
          <t>JÖNKÖPINGS LÄN</t>
        </is>
      </c>
      <c r="E927" t="inlineStr">
        <is>
          <t>SÄVSJÖ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37738-2019</t>
        </is>
      </c>
      <c r="B928" s="1" t="n">
        <v>43682</v>
      </c>
      <c r="C928" s="1" t="n">
        <v>45828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37842-2019</t>
        </is>
      </c>
      <c r="B929" s="1" t="n">
        <v>43682</v>
      </c>
      <c r="C929" s="1" t="n">
        <v>45828</v>
      </c>
      <c r="D929" t="inlineStr">
        <is>
          <t>JÖNKÖPINGS LÄN</t>
        </is>
      </c>
      <c r="E929" t="inlineStr">
        <is>
          <t>VÄRNAMO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37875-2019</t>
        </is>
      </c>
      <c r="B930" s="1" t="n">
        <v>43682</v>
      </c>
      <c r="C930" s="1" t="n">
        <v>45828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37847-2019</t>
        </is>
      </c>
      <c r="B931" s="1" t="n">
        <v>43682</v>
      </c>
      <c r="C931" s="1" t="n">
        <v>45828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37740-2019</t>
        </is>
      </c>
      <c r="B932" s="1" t="n">
        <v>43682</v>
      </c>
      <c r="C932" s="1" t="n">
        <v>45828</v>
      </c>
      <c r="D932" t="inlineStr">
        <is>
          <t>JÖNKÖPINGS LÄN</t>
        </is>
      </c>
      <c r="E932" t="inlineStr">
        <is>
          <t>TRANÅS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38454-2019</t>
        </is>
      </c>
      <c r="B933" s="1" t="n">
        <v>43683</v>
      </c>
      <c r="C933" s="1" t="n">
        <v>45828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38185-2019</t>
        </is>
      </c>
      <c r="B934" s="1" t="n">
        <v>43684</v>
      </c>
      <c r="C934" s="1" t="n">
        <v>45828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38527-2019</t>
        </is>
      </c>
      <c r="B935" s="1" t="n">
        <v>43685</v>
      </c>
      <c r="C935" s="1" t="n">
        <v>45828</v>
      </c>
      <c r="D935" t="inlineStr">
        <is>
          <t>JÖNKÖPINGS LÄN</t>
        </is>
      </c>
      <c r="E935" t="inlineStr">
        <is>
          <t>JÖNKÖPING</t>
        </is>
      </c>
      <c r="G935" t="n">
        <v>10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38473-2019</t>
        </is>
      </c>
      <c r="B936" s="1" t="n">
        <v>43685</v>
      </c>
      <c r="C936" s="1" t="n">
        <v>45828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38481-2019</t>
        </is>
      </c>
      <c r="B937" s="1" t="n">
        <v>43685</v>
      </c>
      <c r="C937" s="1" t="n">
        <v>45828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38657-2019</t>
        </is>
      </c>
      <c r="B938" s="1" t="n">
        <v>43686</v>
      </c>
      <c r="C938" s="1" t="n">
        <v>45828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38601-2019</t>
        </is>
      </c>
      <c r="B939" s="1" t="n">
        <v>43686</v>
      </c>
      <c r="C939" s="1" t="n">
        <v>45828</v>
      </c>
      <c r="D939" t="inlineStr">
        <is>
          <t>JÖNKÖPINGS LÄN</t>
        </is>
      </c>
      <c r="E939" t="inlineStr">
        <is>
          <t>VÄRNAMO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38592-2019</t>
        </is>
      </c>
      <c r="B940" s="1" t="n">
        <v>43686</v>
      </c>
      <c r="C940" s="1" t="n">
        <v>45828</v>
      </c>
      <c r="D940" t="inlineStr">
        <is>
          <t>JÖNKÖPINGS LÄN</t>
        </is>
      </c>
      <c r="E940" t="inlineStr">
        <is>
          <t>NÄSSJÖ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39318-2019</t>
        </is>
      </c>
      <c r="B941" s="1" t="n">
        <v>43686</v>
      </c>
      <c r="C941" s="1" t="n">
        <v>45828</v>
      </c>
      <c r="D941" t="inlineStr">
        <is>
          <t>JÖNKÖPINGS LÄN</t>
        </is>
      </c>
      <c r="E941" t="inlineStr">
        <is>
          <t>VETLANDA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39605-2019</t>
        </is>
      </c>
      <c r="B942" s="1" t="n">
        <v>43686</v>
      </c>
      <c r="C942" s="1" t="n">
        <v>45828</v>
      </c>
      <c r="D942" t="inlineStr">
        <is>
          <t>JÖNKÖPINGS LÄN</t>
        </is>
      </c>
      <c r="E942" t="inlineStr">
        <is>
          <t>VAGGERYD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38856-2019</t>
        </is>
      </c>
      <c r="B943" s="1" t="n">
        <v>43689</v>
      </c>
      <c r="C943" s="1" t="n">
        <v>45828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39061-2019</t>
        </is>
      </c>
      <c r="B944" s="1" t="n">
        <v>43689</v>
      </c>
      <c r="C944" s="1" t="n">
        <v>45828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39101-2019</t>
        </is>
      </c>
      <c r="B945" s="1" t="n">
        <v>43689</v>
      </c>
      <c r="C945" s="1" t="n">
        <v>45828</v>
      </c>
      <c r="D945" t="inlineStr">
        <is>
          <t>JÖNKÖPINGS LÄN</t>
        </is>
      </c>
      <c r="E945" t="inlineStr">
        <is>
          <t>VAGGERYD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38995-2019</t>
        </is>
      </c>
      <c r="B946" s="1" t="n">
        <v>43689</v>
      </c>
      <c r="C946" s="1" t="n">
        <v>45828</v>
      </c>
      <c r="D946" t="inlineStr">
        <is>
          <t>JÖNKÖPINGS LÄN</t>
        </is>
      </c>
      <c r="E946" t="inlineStr">
        <is>
          <t>VÄRNAMO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38952-2019</t>
        </is>
      </c>
      <c r="B947" s="1" t="n">
        <v>43689</v>
      </c>
      <c r="C947" s="1" t="n">
        <v>45828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38956-2019</t>
        </is>
      </c>
      <c r="B948" s="1" t="n">
        <v>43689</v>
      </c>
      <c r="C948" s="1" t="n">
        <v>45828</v>
      </c>
      <c r="D948" t="inlineStr">
        <is>
          <t>JÖNKÖPINGS LÄN</t>
        </is>
      </c>
      <c r="E948" t="inlineStr">
        <is>
          <t>SÄVSJÖ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38975-2019</t>
        </is>
      </c>
      <c r="B949" s="1" t="n">
        <v>43689</v>
      </c>
      <c r="C949" s="1" t="n">
        <v>45828</v>
      </c>
      <c r="D949" t="inlineStr">
        <is>
          <t>JÖNKÖPINGS LÄN</t>
        </is>
      </c>
      <c r="E949" t="inlineStr">
        <is>
          <t>VÄRNAMO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38855-2019</t>
        </is>
      </c>
      <c r="B950" s="1" t="n">
        <v>43689</v>
      </c>
      <c r="C950" s="1" t="n">
        <v>45828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39152-2019</t>
        </is>
      </c>
      <c r="B951" s="1" t="n">
        <v>43690</v>
      </c>
      <c r="C951" s="1" t="n">
        <v>45828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39285-2019</t>
        </is>
      </c>
      <c r="B952" s="1" t="n">
        <v>43690</v>
      </c>
      <c r="C952" s="1" t="n">
        <v>45828</v>
      </c>
      <c r="D952" t="inlineStr">
        <is>
          <t>JÖNKÖPINGS LÄN</t>
        </is>
      </c>
      <c r="E952" t="inlineStr">
        <is>
          <t>JÖNKÖPING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39336-2019</t>
        </is>
      </c>
      <c r="B953" s="1" t="n">
        <v>43690</v>
      </c>
      <c r="C953" s="1" t="n">
        <v>45828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39366-2019</t>
        </is>
      </c>
      <c r="B954" s="1" t="n">
        <v>43690</v>
      </c>
      <c r="C954" s="1" t="n">
        <v>45828</v>
      </c>
      <c r="D954" t="inlineStr">
        <is>
          <t>JÖNKÖPINGS LÄN</t>
        </is>
      </c>
      <c r="E954" t="inlineStr">
        <is>
          <t>VÄRNAMO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39374-2019</t>
        </is>
      </c>
      <c r="B955" s="1" t="n">
        <v>43690</v>
      </c>
      <c r="C955" s="1" t="n">
        <v>45828</v>
      </c>
      <c r="D955" t="inlineStr">
        <is>
          <t>JÖNKÖPINGS LÄN</t>
        </is>
      </c>
      <c r="E955" t="inlineStr">
        <is>
          <t>HABO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40031-2019</t>
        </is>
      </c>
      <c r="B956" s="1" t="n">
        <v>43690</v>
      </c>
      <c r="C956" s="1" t="n">
        <v>45828</v>
      </c>
      <c r="D956" t="inlineStr">
        <is>
          <t>JÖNKÖPINGS LÄN</t>
        </is>
      </c>
      <c r="E956" t="inlineStr">
        <is>
          <t>SÄVSJÖ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39430-2019</t>
        </is>
      </c>
      <c r="B957" s="1" t="n">
        <v>43690</v>
      </c>
      <c r="C957" s="1" t="n">
        <v>45828</v>
      </c>
      <c r="D957" t="inlineStr">
        <is>
          <t>JÖNKÖPINGS LÄN</t>
        </is>
      </c>
      <c r="E957" t="inlineStr">
        <is>
          <t>TRANÅS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40033-2019</t>
        </is>
      </c>
      <c r="B958" s="1" t="n">
        <v>43690</v>
      </c>
      <c r="C958" s="1" t="n">
        <v>45828</v>
      </c>
      <c r="D958" t="inlineStr">
        <is>
          <t>JÖNKÖPINGS LÄN</t>
        </is>
      </c>
      <c r="E958" t="inlineStr">
        <is>
          <t>VÄRNAMO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39936-2019</t>
        </is>
      </c>
      <c r="B959" s="1" t="n">
        <v>43690</v>
      </c>
      <c r="C959" s="1" t="n">
        <v>45828</v>
      </c>
      <c r="D959" t="inlineStr">
        <is>
          <t>JÖNKÖPINGS LÄN</t>
        </is>
      </c>
      <c r="E959" t="inlineStr">
        <is>
          <t>JÖNKÖPING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39188-2019</t>
        </is>
      </c>
      <c r="B960" s="1" t="n">
        <v>43690</v>
      </c>
      <c r="C960" s="1" t="n">
        <v>45828</v>
      </c>
      <c r="D960" t="inlineStr">
        <is>
          <t>JÖNKÖPINGS LÄN</t>
        </is>
      </c>
      <c r="E960" t="inlineStr">
        <is>
          <t>ANEBY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39563-2019</t>
        </is>
      </c>
      <c r="B961" s="1" t="n">
        <v>43691</v>
      </c>
      <c r="C961" s="1" t="n">
        <v>45828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39522-2019</t>
        </is>
      </c>
      <c r="B962" s="1" t="n">
        <v>43691</v>
      </c>
      <c r="C962" s="1" t="n">
        <v>45828</v>
      </c>
      <c r="D962" t="inlineStr">
        <is>
          <t>JÖNKÖPINGS LÄN</t>
        </is>
      </c>
      <c r="E962" t="inlineStr">
        <is>
          <t>HABO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39557-2019</t>
        </is>
      </c>
      <c r="B963" s="1" t="n">
        <v>43691</v>
      </c>
      <c r="C963" s="1" t="n">
        <v>45828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39685-2019</t>
        </is>
      </c>
      <c r="B964" s="1" t="n">
        <v>43691</v>
      </c>
      <c r="C964" s="1" t="n">
        <v>45828</v>
      </c>
      <c r="D964" t="inlineStr">
        <is>
          <t>JÖNKÖPINGS LÄN</t>
        </is>
      </c>
      <c r="E964" t="inlineStr">
        <is>
          <t>ANEBY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41142-2019</t>
        </is>
      </c>
      <c r="B965" s="1" t="n">
        <v>43691</v>
      </c>
      <c r="C965" s="1" t="n">
        <v>45828</v>
      </c>
      <c r="D965" t="inlineStr">
        <is>
          <t>JÖNKÖPINGS LÄN</t>
        </is>
      </c>
      <c r="E965" t="inlineStr">
        <is>
          <t>EKSJÖ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39535-2019</t>
        </is>
      </c>
      <c r="B966" s="1" t="n">
        <v>43691</v>
      </c>
      <c r="C966" s="1" t="n">
        <v>45828</v>
      </c>
      <c r="D966" t="inlineStr">
        <is>
          <t>JÖNKÖPINGS LÄN</t>
        </is>
      </c>
      <c r="E966" t="inlineStr">
        <is>
          <t>HABO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41097-2019</t>
        </is>
      </c>
      <c r="B967" s="1" t="n">
        <v>43691</v>
      </c>
      <c r="C967" s="1" t="n">
        <v>45828</v>
      </c>
      <c r="D967" t="inlineStr">
        <is>
          <t>JÖNKÖPINGS LÄN</t>
        </is>
      </c>
      <c r="E967" t="inlineStr">
        <is>
          <t>JÖNKÖPING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41146-2019</t>
        </is>
      </c>
      <c r="B968" s="1" t="n">
        <v>43691</v>
      </c>
      <c r="C968" s="1" t="n">
        <v>45828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39747-2019</t>
        </is>
      </c>
      <c r="B969" s="1" t="n">
        <v>43692</v>
      </c>
      <c r="C969" s="1" t="n">
        <v>45828</v>
      </c>
      <c r="D969" t="inlineStr">
        <is>
          <t>JÖNKÖPINGS LÄN</t>
        </is>
      </c>
      <c r="E969" t="inlineStr">
        <is>
          <t>GISLAVED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39751-2019</t>
        </is>
      </c>
      <c r="B970" s="1" t="n">
        <v>43692</v>
      </c>
      <c r="C970" s="1" t="n">
        <v>45828</v>
      </c>
      <c r="D970" t="inlineStr">
        <is>
          <t>JÖNKÖPINGS LÄN</t>
        </is>
      </c>
      <c r="E970" t="inlineStr">
        <is>
          <t>GISLAVED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39880-2019</t>
        </is>
      </c>
      <c r="B971" s="1" t="n">
        <v>43692</v>
      </c>
      <c r="C971" s="1" t="n">
        <v>45828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39932-2019</t>
        </is>
      </c>
      <c r="B972" s="1" t="n">
        <v>43692</v>
      </c>
      <c r="C972" s="1" t="n">
        <v>45828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40084-2019</t>
        </is>
      </c>
      <c r="B973" s="1" t="n">
        <v>43693</v>
      </c>
      <c r="C973" s="1" t="n">
        <v>45828</v>
      </c>
      <c r="D973" t="inlineStr">
        <is>
          <t>JÖNKÖPINGS LÄN</t>
        </is>
      </c>
      <c r="E973" t="inlineStr">
        <is>
          <t>TRANÅS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40234-2019</t>
        </is>
      </c>
      <c r="B974" s="1" t="n">
        <v>43694</v>
      </c>
      <c r="C974" s="1" t="n">
        <v>45828</v>
      </c>
      <c r="D974" t="inlineStr">
        <is>
          <t>JÖNKÖPINGS LÄN</t>
        </is>
      </c>
      <c r="E974" t="inlineStr">
        <is>
          <t>VAGGERYD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40377-2019</t>
        </is>
      </c>
      <c r="B975" s="1" t="n">
        <v>43696</v>
      </c>
      <c r="C975" s="1" t="n">
        <v>45828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40295-2019</t>
        </is>
      </c>
      <c r="B976" s="1" t="n">
        <v>43696</v>
      </c>
      <c r="C976" s="1" t="n">
        <v>45828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40603-2019</t>
        </is>
      </c>
      <c r="B977" s="1" t="n">
        <v>43696</v>
      </c>
      <c r="C977" s="1" t="n">
        <v>45828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40653-2019</t>
        </is>
      </c>
      <c r="B978" s="1" t="n">
        <v>43696</v>
      </c>
      <c r="C978" s="1" t="n">
        <v>45828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40588-2019</t>
        </is>
      </c>
      <c r="B979" s="1" t="n">
        <v>43696</v>
      </c>
      <c r="C979" s="1" t="n">
        <v>45828</v>
      </c>
      <c r="D979" t="inlineStr">
        <is>
          <t>JÖNKÖPINGS LÄN</t>
        </is>
      </c>
      <c r="E979" t="inlineStr">
        <is>
          <t>TRANÅS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41361-2019</t>
        </is>
      </c>
      <c r="B980" s="1" t="n">
        <v>43696</v>
      </c>
      <c r="C980" s="1" t="n">
        <v>45828</v>
      </c>
      <c r="D980" t="inlineStr">
        <is>
          <t>JÖNKÖPINGS LÄN</t>
        </is>
      </c>
      <c r="E980" t="inlineStr">
        <is>
          <t>VAGGERYD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41205-2019</t>
        </is>
      </c>
      <c r="B981" s="1" t="n">
        <v>43696</v>
      </c>
      <c r="C981" s="1" t="n">
        <v>45828</v>
      </c>
      <c r="D981" t="inlineStr">
        <is>
          <t>JÖNKÖPINGS LÄN</t>
        </is>
      </c>
      <c r="E981" t="inlineStr">
        <is>
          <t>VETLANDA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40643-2019</t>
        </is>
      </c>
      <c r="B982" s="1" t="n">
        <v>43696</v>
      </c>
      <c r="C982" s="1" t="n">
        <v>45828</v>
      </c>
      <c r="D982" t="inlineStr">
        <is>
          <t>JÖNKÖPINGS LÄN</t>
        </is>
      </c>
      <c r="E982" t="inlineStr">
        <is>
          <t>GNOSJÖ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40696-2019</t>
        </is>
      </c>
      <c r="B983" s="1" t="n">
        <v>43697</v>
      </c>
      <c r="C983" s="1" t="n">
        <v>45828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40848-2019</t>
        </is>
      </c>
      <c r="B984" s="1" t="n">
        <v>43697</v>
      </c>
      <c r="C984" s="1" t="n">
        <v>45828</v>
      </c>
      <c r="D984" t="inlineStr">
        <is>
          <t>JÖNKÖPINGS LÄN</t>
        </is>
      </c>
      <c r="E984" t="inlineStr">
        <is>
          <t>VÄRNAMO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40854-2019</t>
        </is>
      </c>
      <c r="B985" s="1" t="n">
        <v>43697</v>
      </c>
      <c r="C985" s="1" t="n">
        <v>45828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40975-2019</t>
        </is>
      </c>
      <c r="B986" s="1" t="n">
        <v>43697</v>
      </c>
      <c r="C986" s="1" t="n">
        <v>45828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40851-2019</t>
        </is>
      </c>
      <c r="B987" s="1" t="n">
        <v>43697</v>
      </c>
      <c r="C987" s="1" t="n">
        <v>45828</v>
      </c>
      <c r="D987" t="inlineStr">
        <is>
          <t>JÖNKÖPINGS LÄN</t>
        </is>
      </c>
      <c r="E987" t="inlineStr">
        <is>
          <t>GISLAVED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40804-2019</t>
        </is>
      </c>
      <c r="B988" s="1" t="n">
        <v>43697</v>
      </c>
      <c r="C988" s="1" t="n">
        <v>45828</v>
      </c>
      <c r="D988" t="inlineStr">
        <is>
          <t>JÖNKÖPINGS LÄN</t>
        </is>
      </c>
      <c r="E988" t="inlineStr">
        <is>
          <t>MULLSJÖ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40894-2019</t>
        </is>
      </c>
      <c r="B989" s="1" t="n">
        <v>43697</v>
      </c>
      <c r="C989" s="1" t="n">
        <v>45828</v>
      </c>
      <c r="D989" t="inlineStr">
        <is>
          <t>JÖNKÖPINGS LÄN</t>
        </is>
      </c>
      <c r="E989" t="inlineStr">
        <is>
          <t>JÖNKÖPING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40976-2019</t>
        </is>
      </c>
      <c r="B990" s="1" t="n">
        <v>43697</v>
      </c>
      <c r="C990" s="1" t="n">
        <v>45828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40906-2019</t>
        </is>
      </c>
      <c r="B991" s="1" t="n">
        <v>43697</v>
      </c>
      <c r="C991" s="1" t="n">
        <v>45828</v>
      </c>
      <c r="D991" t="inlineStr">
        <is>
          <t>JÖNKÖPINGS LÄN</t>
        </is>
      </c>
      <c r="E991" t="inlineStr">
        <is>
          <t>GISLAVED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40944-2019</t>
        </is>
      </c>
      <c r="B992" s="1" t="n">
        <v>43697</v>
      </c>
      <c r="C992" s="1" t="n">
        <v>45828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40997-2019</t>
        </is>
      </c>
      <c r="B993" s="1" t="n">
        <v>43697</v>
      </c>
      <c r="C993" s="1" t="n">
        <v>45828</v>
      </c>
      <c r="D993" t="inlineStr">
        <is>
          <t>JÖNKÖPINGS LÄN</t>
        </is>
      </c>
      <c r="E993" t="inlineStr">
        <is>
          <t>VETLANDA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41085-2019</t>
        </is>
      </c>
      <c r="B994" s="1" t="n">
        <v>43697</v>
      </c>
      <c r="C994" s="1" t="n">
        <v>45828</v>
      </c>
      <c r="D994" t="inlineStr">
        <is>
          <t>JÖNKÖPINGS LÄN</t>
        </is>
      </c>
      <c r="E994" t="inlineStr">
        <is>
          <t>TRANÅS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41868-2019</t>
        </is>
      </c>
      <c r="B995" s="1" t="n">
        <v>43697</v>
      </c>
      <c r="C995" s="1" t="n">
        <v>45828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41115-2019</t>
        </is>
      </c>
      <c r="B996" s="1" t="n">
        <v>43698</v>
      </c>
      <c r="C996" s="1" t="n">
        <v>45828</v>
      </c>
      <c r="D996" t="inlineStr">
        <is>
          <t>JÖNKÖPINGS LÄN</t>
        </is>
      </c>
      <c r="E996" t="inlineStr">
        <is>
          <t>SÄVSJÖ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41224-2019</t>
        </is>
      </c>
      <c r="B997" s="1" t="n">
        <v>43698</v>
      </c>
      <c r="C997" s="1" t="n">
        <v>45828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41270-2019</t>
        </is>
      </c>
      <c r="B998" s="1" t="n">
        <v>43698</v>
      </c>
      <c r="C998" s="1" t="n">
        <v>45828</v>
      </c>
      <c r="D998" t="inlineStr">
        <is>
          <t>JÖNKÖPINGS LÄN</t>
        </is>
      </c>
      <c r="E998" t="inlineStr">
        <is>
          <t>TRANÅS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41305-2019</t>
        </is>
      </c>
      <c r="B999" s="1" t="n">
        <v>43698</v>
      </c>
      <c r="C999" s="1" t="n">
        <v>45828</v>
      </c>
      <c r="D999" t="inlineStr">
        <is>
          <t>JÖNKÖPINGS LÄN</t>
        </is>
      </c>
      <c r="E999" t="inlineStr">
        <is>
          <t>ANEBY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42192-2019</t>
        </is>
      </c>
      <c r="B1000" s="1" t="n">
        <v>43698</v>
      </c>
      <c r="C1000" s="1" t="n">
        <v>45828</v>
      </c>
      <c r="D1000" t="inlineStr">
        <is>
          <t>JÖNKÖPINGS LÄN</t>
        </is>
      </c>
      <c r="E1000" t="inlineStr">
        <is>
          <t>NÄSSJÖ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42224-2019</t>
        </is>
      </c>
      <c r="B1001" s="1" t="n">
        <v>43698</v>
      </c>
      <c r="C1001" s="1" t="n">
        <v>45828</v>
      </c>
      <c r="D1001" t="inlineStr">
        <is>
          <t>JÖNKÖPINGS LÄN</t>
        </is>
      </c>
      <c r="E1001" t="inlineStr">
        <is>
          <t>ANEBY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42261-2019</t>
        </is>
      </c>
      <c r="B1002" s="1" t="n">
        <v>43698</v>
      </c>
      <c r="C1002" s="1" t="n">
        <v>45828</v>
      </c>
      <c r="D1002" t="inlineStr">
        <is>
          <t>JÖNKÖPINGS LÄN</t>
        </is>
      </c>
      <c r="E1002" t="inlineStr">
        <is>
          <t>JÖNKÖPING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41373-2019</t>
        </is>
      </c>
      <c r="B1003" s="1" t="n">
        <v>43698</v>
      </c>
      <c r="C1003" s="1" t="n">
        <v>45828</v>
      </c>
      <c r="D1003" t="inlineStr">
        <is>
          <t>JÖNKÖPINGS LÄN</t>
        </is>
      </c>
      <c r="E1003" t="inlineStr">
        <is>
          <t>EKSJÖ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41378-2019</t>
        </is>
      </c>
      <c r="B1004" s="1" t="n">
        <v>43698</v>
      </c>
      <c r="C1004" s="1" t="n">
        <v>45828</v>
      </c>
      <c r="D1004" t="inlineStr">
        <is>
          <t>JÖNKÖPINGS LÄN</t>
        </is>
      </c>
      <c r="E1004" t="inlineStr">
        <is>
          <t>EKSJÖ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41377-2019</t>
        </is>
      </c>
      <c r="B1005" s="1" t="n">
        <v>43698</v>
      </c>
      <c r="C1005" s="1" t="n">
        <v>45828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42226-2019</t>
        </is>
      </c>
      <c r="B1006" s="1" t="n">
        <v>43698</v>
      </c>
      <c r="C1006" s="1" t="n">
        <v>45828</v>
      </c>
      <c r="D1006" t="inlineStr">
        <is>
          <t>JÖNKÖPINGS LÄN</t>
        </is>
      </c>
      <c r="E1006" t="inlineStr">
        <is>
          <t>NÄSSJÖ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45364-2019</t>
        </is>
      </c>
      <c r="B1007" s="1" t="n">
        <v>43698</v>
      </c>
      <c r="C1007" s="1" t="n">
        <v>45828</v>
      </c>
      <c r="D1007" t="inlineStr">
        <is>
          <t>JÖNKÖPINGS LÄN</t>
        </is>
      </c>
      <c r="E1007" t="inlineStr">
        <is>
          <t>VÄRNAMO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41089-2019</t>
        </is>
      </c>
      <c r="B1008" s="1" t="n">
        <v>43698</v>
      </c>
      <c r="C1008" s="1" t="n">
        <v>45828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41225-2019</t>
        </is>
      </c>
      <c r="B1009" s="1" t="n">
        <v>43698</v>
      </c>
      <c r="C1009" s="1" t="n">
        <v>45828</v>
      </c>
      <c r="D1009" t="inlineStr">
        <is>
          <t>JÖNKÖPINGS LÄN</t>
        </is>
      </c>
      <c r="E1009" t="inlineStr">
        <is>
          <t>JÖNKÖPING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41428-2019</t>
        </is>
      </c>
      <c r="B1010" s="1" t="n">
        <v>43698</v>
      </c>
      <c r="C1010" s="1" t="n">
        <v>45828</v>
      </c>
      <c r="D1010" t="inlineStr">
        <is>
          <t>JÖNKÖPINGS LÄN</t>
        </is>
      </c>
      <c r="E1010" t="inlineStr">
        <is>
          <t>MULLSJÖ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42229-2019</t>
        </is>
      </c>
      <c r="B1011" s="1" t="n">
        <v>43698</v>
      </c>
      <c r="C1011" s="1" t="n">
        <v>45828</v>
      </c>
      <c r="D1011" t="inlineStr">
        <is>
          <t>JÖNKÖPINGS LÄN</t>
        </is>
      </c>
      <c r="E1011" t="inlineStr">
        <is>
          <t>ANEBY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41504-2019</t>
        </is>
      </c>
      <c r="B1012" s="1" t="n">
        <v>43699</v>
      </c>
      <c r="C1012" s="1" t="n">
        <v>45828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41567-2019</t>
        </is>
      </c>
      <c r="B1013" s="1" t="n">
        <v>43699</v>
      </c>
      <c r="C1013" s="1" t="n">
        <v>45828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41541-2019</t>
        </is>
      </c>
      <c r="B1014" s="1" t="n">
        <v>43699</v>
      </c>
      <c r="C1014" s="1" t="n">
        <v>45828</v>
      </c>
      <c r="D1014" t="inlineStr">
        <is>
          <t>JÖNKÖPINGS LÄN</t>
        </is>
      </c>
      <c r="E1014" t="inlineStr">
        <is>
          <t>NÄSSJÖ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41687-2019</t>
        </is>
      </c>
      <c r="B1015" s="1" t="n">
        <v>43699</v>
      </c>
      <c r="C1015" s="1" t="n">
        <v>45828</v>
      </c>
      <c r="D1015" t="inlineStr">
        <is>
          <t>JÖNKÖPINGS LÄN</t>
        </is>
      </c>
      <c r="E1015" t="inlineStr">
        <is>
          <t>EKSJÖ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41528-2019</t>
        </is>
      </c>
      <c r="B1016" s="1" t="n">
        <v>43699</v>
      </c>
      <c r="C1016" s="1" t="n">
        <v>45828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41499-2019</t>
        </is>
      </c>
      <c r="B1017" s="1" t="n">
        <v>43699</v>
      </c>
      <c r="C1017" s="1" t="n">
        <v>45828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41804-2019</t>
        </is>
      </c>
      <c r="B1018" s="1" t="n">
        <v>43700</v>
      </c>
      <c r="C1018" s="1" t="n">
        <v>45828</v>
      </c>
      <c r="D1018" t="inlineStr">
        <is>
          <t>JÖNKÖPINGS LÄN</t>
        </is>
      </c>
      <c r="E1018" t="inlineStr">
        <is>
          <t>SÄVSJÖ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41840-2019</t>
        </is>
      </c>
      <c r="B1019" s="1" t="n">
        <v>43700</v>
      </c>
      <c r="C1019" s="1" t="n">
        <v>45828</v>
      </c>
      <c r="D1019" t="inlineStr">
        <is>
          <t>JÖNKÖPINGS LÄN</t>
        </is>
      </c>
      <c r="E1019" t="inlineStr">
        <is>
          <t>TRANÅS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41832-2019</t>
        </is>
      </c>
      <c r="B1020" s="1" t="n">
        <v>43700</v>
      </c>
      <c r="C1020" s="1" t="n">
        <v>45828</v>
      </c>
      <c r="D1020" t="inlineStr">
        <is>
          <t>JÖNKÖPINGS LÄN</t>
        </is>
      </c>
      <c r="E1020" t="inlineStr">
        <is>
          <t>TRANÅS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42722-2019</t>
        </is>
      </c>
      <c r="B1021" s="1" t="n">
        <v>43700</v>
      </c>
      <c r="C1021" s="1" t="n">
        <v>45828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42711-2019</t>
        </is>
      </c>
      <c r="B1022" s="1" t="n">
        <v>43700</v>
      </c>
      <c r="C1022" s="1" t="n">
        <v>45828</v>
      </c>
      <c r="D1022" t="inlineStr">
        <is>
          <t>JÖNKÖPINGS LÄN</t>
        </is>
      </c>
      <c r="E1022" t="inlineStr">
        <is>
          <t>VETLANDA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42091-2019</t>
        </is>
      </c>
      <c r="B1023" s="1" t="n">
        <v>43701</v>
      </c>
      <c r="C1023" s="1" t="n">
        <v>45828</v>
      </c>
      <c r="D1023" t="inlineStr">
        <is>
          <t>JÖNKÖPINGS LÄN</t>
        </is>
      </c>
      <c r="E1023" t="inlineStr">
        <is>
          <t>EKSJÖ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42177-2019</t>
        </is>
      </c>
      <c r="B1024" s="1" t="n">
        <v>43703</v>
      </c>
      <c r="C1024" s="1" t="n">
        <v>45828</v>
      </c>
      <c r="D1024" t="inlineStr">
        <is>
          <t>JÖNKÖPINGS LÄN</t>
        </is>
      </c>
      <c r="E1024" t="inlineStr">
        <is>
          <t>JÖNKÖPING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42315-2019</t>
        </is>
      </c>
      <c r="B1025" s="1" t="n">
        <v>43703</v>
      </c>
      <c r="C1025" s="1" t="n">
        <v>45828</v>
      </c>
      <c r="D1025" t="inlineStr">
        <is>
          <t>JÖNKÖPINGS LÄN</t>
        </is>
      </c>
      <c r="E1025" t="inlineStr">
        <is>
          <t>ANEBY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42119-2019</t>
        </is>
      </c>
      <c r="B1026" s="1" t="n">
        <v>43703</v>
      </c>
      <c r="C1026" s="1" t="n">
        <v>45828</v>
      </c>
      <c r="D1026" t="inlineStr">
        <is>
          <t>JÖNKÖPINGS LÄN</t>
        </is>
      </c>
      <c r="E1026" t="inlineStr">
        <is>
          <t>JÖNKÖPING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42265-2019</t>
        </is>
      </c>
      <c r="B1027" s="1" t="n">
        <v>43703</v>
      </c>
      <c r="C1027" s="1" t="n">
        <v>45828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42346-2019</t>
        </is>
      </c>
      <c r="B1028" s="1" t="n">
        <v>43703</v>
      </c>
      <c r="C1028" s="1" t="n">
        <v>45828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42339-2019</t>
        </is>
      </c>
      <c r="B1029" s="1" t="n">
        <v>43703</v>
      </c>
      <c r="C1029" s="1" t="n">
        <v>45828</v>
      </c>
      <c r="D1029" t="inlineStr">
        <is>
          <t>JÖNKÖPINGS LÄN</t>
        </is>
      </c>
      <c r="E1029" t="inlineStr">
        <is>
          <t>VÄRNAMO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42564-2019</t>
        </is>
      </c>
      <c r="B1030" s="1" t="n">
        <v>43704</v>
      </c>
      <c r="C1030" s="1" t="n">
        <v>45828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42639-2019</t>
        </is>
      </c>
      <c r="B1031" s="1" t="n">
        <v>43704</v>
      </c>
      <c r="C1031" s="1" t="n">
        <v>45828</v>
      </c>
      <c r="D1031" t="inlineStr">
        <is>
          <t>JÖNKÖPINGS LÄN</t>
        </is>
      </c>
      <c r="E1031" t="inlineStr">
        <is>
          <t>GISLAVED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42740-2019</t>
        </is>
      </c>
      <c r="B1032" s="1" t="n">
        <v>43704</v>
      </c>
      <c r="C1032" s="1" t="n">
        <v>45828</v>
      </c>
      <c r="D1032" t="inlineStr">
        <is>
          <t>JÖNKÖPINGS LÄN</t>
        </is>
      </c>
      <c r="E1032" t="inlineStr">
        <is>
          <t>VETLANDA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42932-2019</t>
        </is>
      </c>
      <c r="B1033" s="1" t="n">
        <v>43704</v>
      </c>
      <c r="C1033" s="1" t="n">
        <v>45828</v>
      </c>
      <c r="D1033" t="inlineStr">
        <is>
          <t>JÖNKÖPINGS LÄN</t>
        </is>
      </c>
      <c r="E1033" t="inlineStr">
        <is>
          <t>TRANÅS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42682-2019</t>
        </is>
      </c>
      <c r="B1034" s="1" t="n">
        <v>43704</v>
      </c>
      <c r="C1034" s="1" t="n">
        <v>45828</v>
      </c>
      <c r="D1034" t="inlineStr">
        <is>
          <t>JÖNKÖPINGS LÄN</t>
        </is>
      </c>
      <c r="E1034" t="inlineStr">
        <is>
          <t>EKSJÖ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42652-2019</t>
        </is>
      </c>
      <c r="B1035" s="1" t="n">
        <v>43704</v>
      </c>
      <c r="C1035" s="1" t="n">
        <v>45828</v>
      </c>
      <c r="D1035" t="inlineStr">
        <is>
          <t>JÖNKÖPINGS LÄN</t>
        </is>
      </c>
      <c r="E1035" t="inlineStr">
        <is>
          <t>GISLAVED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43462-2019</t>
        </is>
      </c>
      <c r="B1036" s="1" t="n">
        <v>43704</v>
      </c>
      <c r="C1036" s="1" t="n">
        <v>45828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42735-2019</t>
        </is>
      </c>
      <c r="B1037" s="1" t="n">
        <v>43704</v>
      </c>
      <c r="C1037" s="1" t="n">
        <v>45828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42584-2019</t>
        </is>
      </c>
      <c r="B1038" s="1" t="n">
        <v>43704</v>
      </c>
      <c r="C1038" s="1" t="n">
        <v>45828</v>
      </c>
      <c r="D1038" t="inlineStr">
        <is>
          <t>JÖNKÖPINGS LÄN</t>
        </is>
      </c>
      <c r="E1038" t="inlineStr">
        <is>
          <t>GISLAVED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42843-2019</t>
        </is>
      </c>
      <c r="B1039" s="1" t="n">
        <v>43705</v>
      </c>
      <c r="C1039" s="1" t="n">
        <v>45828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43006-2019</t>
        </is>
      </c>
      <c r="B1040" s="1" t="n">
        <v>43705</v>
      </c>
      <c r="C1040" s="1" t="n">
        <v>45828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43017-2019</t>
        </is>
      </c>
      <c r="B1041" s="1" t="n">
        <v>43705</v>
      </c>
      <c r="C1041" s="1" t="n">
        <v>45828</v>
      </c>
      <c r="D1041" t="inlineStr">
        <is>
          <t>JÖNKÖPINGS LÄN</t>
        </is>
      </c>
      <c r="E1041" t="inlineStr">
        <is>
          <t>VETLANDA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42917-2019</t>
        </is>
      </c>
      <c r="B1042" s="1" t="n">
        <v>43705</v>
      </c>
      <c r="C1042" s="1" t="n">
        <v>45828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42933-2019</t>
        </is>
      </c>
      <c r="B1043" s="1" t="n">
        <v>43705</v>
      </c>
      <c r="C1043" s="1" t="n">
        <v>45828</v>
      </c>
      <c r="D1043" t="inlineStr">
        <is>
          <t>JÖNKÖPINGS LÄN</t>
        </is>
      </c>
      <c r="E1043" t="inlineStr">
        <is>
          <t>GISLAVED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43069-2019</t>
        </is>
      </c>
      <c r="B1044" s="1" t="n">
        <v>43705</v>
      </c>
      <c r="C1044" s="1" t="n">
        <v>45828</v>
      </c>
      <c r="D1044" t="inlineStr">
        <is>
          <t>JÖNKÖPINGS LÄN</t>
        </is>
      </c>
      <c r="E1044" t="inlineStr">
        <is>
          <t>SÄVSJÖ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42994-2019</t>
        </is>
      </c>
      <c r="B1045" s="1" t="n">
        <v>43705</v>
      </c>
      <c r="C1045" s="1" t="n">
        <v>45828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43013-2019</t>
        </is>
      </c>
      <c r="B1046" s="1" t="n">
        <v>43705</v>
      </c>
      <c r="C1046" s="1" t="n">
        <v>45828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43118-2019</t>
        </is>
      </c>
      <c r="B1047" s="1" t="n">
        <v>43705</v>
      </c>
      <c r="C1047" s="1" t="n">
        <v>45828</v>
      </c>
      <c r="D1047" t="inlineStr">
        <is>
          <t>JÖNKÖPINGS LÄN</t>
        </is>
      </c>
      <c r="E1047" t="inlineStr">
        <is>
          <t>JÖNKÖPING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43277-2019</t>
        </is>
      </c>
      <c r="B1048" s="1" t="n">
        <v>43706</v>
      </c>
      <c r="C1048" s="1" t="n">
        <v>45828</v>
      </c>
      <c r="D1048" t="inlineStr">
        <is>
          <t>JÖNKÖPINGS LÄN</t>
        </is>
      </c>
      <c r="E1048" t="inlineStr">
        <is>
          <t>VÄRNAMO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43734-2019</t>
        </is>
      </c>
      <c r="B1049" s="1" t="n">
        <v>43706</v>
      </c>
      <c r="C1049" s="1" t="n">
        <v>45828</v>
      </c>
      <c r="D1049" t="inlineStr">
        <is>
          <t>JÖNKÖPINGS LÄN</t>
        </is>
      </c>
      <c r="E1049" t="inlineStr">
        <is>
          <t>TRANÅS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43749-2019</t>
        </is>
      </c>
      <c r="B1050" s="1" t="n">
        <v>43707</v>
      </c>
      <c r="C1050" s="1" t="n">
        <v>45828</v>
      </c>
      <c r="D1050" t="inlineStr">
        <is>
          <t>JÖNKÖPINGS LÄN</t>
        </is>
      </c>
      <c r="E1050" t="inlineStr">
        <is>
          <t>EKSJÖ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43755-2019</t>
        </is>
      </c>
      <c r="B1051" s="1" t="n">
        <v>43707</v>
      </c>
      <c r="C1051" s="1" t="n">
        <v>45828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43805-2019</t>
        </is>
      </c>
      <c r="B1052" s="1" t="n">
        <v>43707</v>
      </c>
      <c r="C1052" s="1" t="n">
        <v>45828</v>
      </c>
      <c r="D1052" t="inlineStr">
        <is>
          <t>JÖNKÖPINGS LÄN</t>
        </is>
      </c>
      <c r="E1052" t="inlineStr">
        <is>
          <t>TRANÅS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43826-2019</t>
        </is>
      </c>
      <c r="B1053" s="1" t="n">
        <v>43707</v>
      </c>
      <c r="C1053" s="1" t="n">
        <v>45828</v>
      </c>
      <c r="D1053" t="inlineStr">
        <is>
          <t>JÖNKÖPINGS LÄN</t>
        </is>
      </c>
      <c r="E1053" t="inlineStr">
        <is>
          <t>TRANÅS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44072-2019</t>
        </is>
      </c>
      <c r="B1054" s="1" t="n">
        <v>43710</v>
      </c>
      <c r="C1054" s="1" t="n">
        <v>45828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44059-2019</t>
        </is>
      </c>
      <c r="B1055" s="1" t="n">
        <v>43710</v>
      </c>
      <c r="C1055" s="1" t="n">
        <v>45828</v>
      </c>
      <c r="D1055" t="inlineStr">
        <is>
          <t>JÖNKÖPINGS LÄN</t>
        </is>
      </c>
      <c r="E1055" t="inlineStr">
        <is>
          <t>EKSJÖ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44285-2019</t>
        </is>
      </c>
      <c r="B1056" s="1" t="n">
        <v>43710</v>
      </c>
      <c r="C1056" s="1" t="n">
        <v>45828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44264-2019</t>
        </is>
      </c>
      <c r="B1057" s="1" t="n">
        <v>43710</v>
      </c>
      <c r="C1057" s="1" t="n">
        <v>45828</v>
      </c>
      <c r="D1057" t="inlineStr">
        <is>
          <t>JÖNKÖPINGS LÄN</t>
        </is>
      </c>
      <c r="E1057" t="inlineStr">
        <is>
          <t>EKSJÖ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44395-2019</t>
        </is>
      </c>
      <c r="B1058" s="1" t="n">
        <v>43710</v>
      </c>
      <c r="C1058" s="1" t="n">
        <v>45828</v>
      </c>
      <c r="D1058" t="inlineStr">
        <is>
          <t>JÖNKÖPINGS LÄN</t>
        </is>
      </c>
      <c r="E1058" t="inlineStr">
        <is>
          <t>ANEBY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44279-2019</t>
        </is>
      </c>
      <c r="B1059" s="1" t="n">
        <v>43710</v>
      </c>
      <c r="C1059" s="1" t="n">
        <v>45828</v>
      </c>
      <c r="D1059" t="inlineStr">
        <is>
          <t>JÖNKÖPINGS LÄN</t>
        </is>
      </c>
      <c r="E1059" t="inlineStr">
        <is>
          <t>VETLANDA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44101-2019</t>
        </is>
      </c>
      <c r="B1060" s="1" t="n">
        <v>43710</v>
      </c>
      <c r="C1060" s="1" t="n">
        <v>45828</v>
      </c>
      <c r="D1060" t="inlineStr">
        <is>
          <t>JÖNKÖPINGS LÄN</t>
        </is>
      </c>
      <c r="E1060" t="inlineStr">
        <is>
          <t>ANEBY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44417-2019</t>
        </is>
      </c>
      <c r="B1061" s="1" t="n">
        <v>43711</v>
      </c>
      <c r="C1061" s="1" t="n">
        <v>45828</v>
      </c>
      <c r="D1061" t="inlineStr">
        <is>
          <t>JÖNKÖPINGS LÄN</t>
        </is>
      </c>
      <c r="E1061" t="inlineStr">
        <is>
          <t>VAGGERYD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44338-2019</t>
        </is>
      </c>
      <c r="B1062" s="1" t="n">
        <v>43711</v>
      </c>
      <c r="C1062" s="1" t="n">
        <v>45828</v>
      </c>
      <c r="D1062" t="inlineStr">
        <is>
          <t>JÖNKÖPINGS LÄN</t>
        </is>
      </c>
      <c r="E1062" t="inlineStr">
        <is>
          <t>ANEBY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44425-2019</t>
        </is>
      </c>
      <c r="B1063" s="1" t="n">
        <v>43711</v>
      </c>
      <c r="C1063" s="1" t="n">
        <v>45828</v>
      </c>
      <c r="D1063" t="inlineStr">
        <is>
          <t>JÖNKÖPINGS LÄN</t>
        </is>
      </c>
      <c r="E1063" t="inlineStr">
        <is>
          <t>ANEBY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44563-2019</t>
        </is>
      </c>
      <c r="B1064" s="1" t="n">
        <v>43711</v>
      </c>
      <c r="C1064" s="1" t="n">
        <v>45828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44448-2019</t>
        </is>
      </c>
      <c r="B1065" s="1" t="n">
        <v>43711</v>
      </c>
      <c r="C1065" s="1" t="n">
        <v>45828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44339-2019</t>
        </is>
      </c>
      <c r="B1066" s="1" t="n">
        <v>43711</v>
      </c>
      <c r="C1066" s="1" t="n">
        <v>45828</v>
      </c>
      <c r="D1066" t="inlineStr">
        <is>
          <t>JÖNKÖPINGS LÄN</t>
        </is>
      </c>
      <c r="E1066" t="inlineStr">
        <is>
          <t>ANEBY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44637-2019</t>
        </is>
      </c>
      <c r="B1067" s="1" t="n">
        <v>43712</v>
      </c>
      <c r="C1067" s="1" t="n">
        <v>45828</v>
      </c>
      <c r="D1067" t="inlineStr">
        <is>
          <t>JÖNKÖPINGS LÄN</t>
        </is>
      </c>
      <c r="E1067" t="inlineStr">
        <is>
          <t>EKSJÖ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44838-2019</t>
        </is>
      </c>
      <c r="B1068" s="1" t="n">
        <v>43712</v>
      </c>
      <c r="C1068" s="1" t="n">
        <v>45828</v>
      </c>
      <c r="D1068" t="inlineStr">
        <is>
          <t>JÖNKÖPINGS LÄN</t>
        </is>
      </c>
      <c r="E1068" t="inlineStr">
        <is>
          <t>SÄVSJÖ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44693-2019</t>
        </is>
      </c>
      <c r="B1069" s="1" t="n">
        <v>43712</v>
      </c>
      <c r="C1069" s="1" t="n">
        <v>45828</v>
      </c>
      <c r="D1069" t="inlineStr">
        <is>
          <t>JÖNKÖPINGS LÄN</t>
        </is>
      </c>
      <c r="E1069" t="inlineStr">
        <is>
          <t>ANEBY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44957-2019</t>
        </is>
      </c>
      <c r="B1070" s="1" t="n">
        <v>43713</v>
      </c>
      <c r="C1070" s="1" t="n">
        <v>45828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45195-2019</t>
        </is>
      </c>
      <c r="B1071" s="1" t="n">
        <v>43713</v>
      </c>
      <c r="C1071" s="1" t="n">
        <v>45828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45121-2019</t>
        </is>
      </c>
      <c r="B1072" s="1" t="n">
        <v>43713</v>
      </c>
      <c r="C1072" s="1" t="n">
        <v>45828</v>
      </c>
      <c r="D1072" t="inlineStr">
        <is>
          <t>JÖNKÖPINGS LÄN</t>
        </is>
      </c>
      <c r="E1072" t="inlineStr">
        <is>
          <t>VETLANDA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45978-2019</t>
        </is>
      </c>
      <c r="B1073" s="1" t="n">
        <v>43713</v>
      </c>
      <c r="C1073" s="1" t="n">
        <v>45828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46000-2019</t>
        </is>
      </c>
      <c r="B1074" s="1" t="n">
        <v>43713</v>
      </c>
      <c r="C1074" s="1" t="n">
        <v>45828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45347-2019</t>
        </is>
      </c>
      <c r="B1075" s="1" t="n">
        <v>43714</v>
      </c>
      <c r="C1075" s="1" t="n">
        <v>45828</v>
      </c>
      <c r="D1075" t="inlineStr">
        <is>
          <t>JÖNKÖPINGS LÄN</t>
        </is>
      </c>
      <c r="E1075" t="inlineStr">
        <is>
          <t>VETLANDA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45432-2019</t>
        </is>
      </c>
      <c r="B1076" s="1" t="n">
        <v>43714</v>
      </c>
      <c r="C1076" s="1" t="n">
        <v>45828</v>
      </c>
      <c r="D1076" t="inlineStr">
        <is>
          <t>JÖNKÖPINGS LÄN</t>
        </is>
      </c>
      <c r="E1076" t="inlineStr">
        <is>
          <t>NÄSSJÖ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45396-2019</t>
        </is>
      </c>
      <c r="B1077" s="1" t="n">
        <v>43714</v>
      </c>
      <c r="C1077" s="1" t="n">
        <v>45828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45473-2019</t>
        </is>
      </c>
      <c r="B1078" s="1" t="n">
        <v>43714</v>
      </c>
      <c r="C1078" s="1" t="n">
        <v>45828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45475-2019</t>
        </is>
      </c>
      <c r="B1079" s="1" t="n">
        <v>43714</v>
      </c>
      <c r="C1079" s="1" t="n">
        <v>45828</v>
      </c>
      <c r="D1079" t="inlineStr">
        <is>
          <t>JÖNKÖPINGS LÄN</t>
        </is>
      </c>
      <c r="E1079" t="inlineStr">
        <is>
          <t>EKSJÖ</t>
        </is>
      </c>
      <c r="F1079" t="inlineStr">
        <is>
          <t>Övriga Aktiebolag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45487-2019</t>
        </is>
      </c>
      <c r="B1080" s="1" t="n">
        <v>43714</v>
      </c>
      <c r="C1080" s="1" t="n">
        <v>45828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45453-2019</t>
        </is>
      </c>
      <c r="B1081" s="1" t="n">
        <v>43714</v>
      </c>
      <c r="C1081" s="1" t="n">
        <v>45828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45507-2019</t>
        </is>
      </c>
      <c r="B1082" s="1" t="n">
        <v>43714</v>
      </c>
      <c r="C1082" s="1" t="n">
        <v>45828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45415-2019</t>
        </is>
      </c>
      <c r="B1083" s="1" t="n">
        <v>43714</v>
      </c>
      <c r="C1083" s="1" t="n">
        <v>45828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46390-2019</t>
        </is>
      </c>
      <c r="B1084" s="1" t="n">
        <v>43714</v>
      </c>
      <c r="C1084" s="1" t="n">
        <v>45828</v>
      </c>
      <c r="D1084" t="inlineStr">
        <is>
          <t>JÖNKÖPINGS LÄN</t>
        </is>
      </c>
      <c r="E1084" t="inlineStr">
        <is>
          <t>SÄVSJÖ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45565-2019</t>
        </is>
      </c>
      <c r="B1085" s="1" t="n">
        <v>43716</v>
      </c>
      <c r="C1085" s="1" t="n">
        <v>45828</v>
      </c>
      <c r="D1085" t="inlineStr">
        <is>
          <t>JÖNKÖPINGS LÄN</t>
        </is>
      </c>
      <c r="E1085" t="inlineStr">
        <is>
          <t>TRANÅS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45674-2019</t>
        </is>
      </c>
      <c r="B1086" s="1" t="n">
        <v>43717</v>
      </c>
      <c r="C1086" s="1" t="n">
        <v>45828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45830-2019</t>
        </is>
      </c>
      <c r="B1087" s="1" t="n">
        <v>43717</v>
      </c>
      <c r="C1087" s="1" t="n">
        <v>45828</v>
      </c>
      <c r="D1087" t="inlineStr">
        <is>
          <t>JÖNKÖPINGS LÄN</t>
        </is>
      </c>
      <c r="E1087" t="inlineStr">
        <is>
          <t>VÄRNAMO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46613-2019</t>
        </is>
      </c>
      <c r="B1088" s="1" t="n">
        <v>43717</v>
      </c>
      <c r="C1088" s="1" t="n">
        <v>45828</v>
      </c>
      <c r="D1088" t="inlineStr">
        <is>
          <t>JÖNKÖPINGS LÄN</t>
        </is>
      </c>
      <c r="E1088" t="inlineStr">
        <is>
          <t>SÄVSJÖ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46620-2019</t>
        </is>
      </c>
      <c r="B1089" s="1" t="n">
        <v>43717</v>
      </c>
      <c r="C1089" s="1" t="n">
        <v>45828</v>
      </c>
      <c r="D1089" t="inlineStr">
        <is>
          <t>JÖNKÖPINGS LÄN</t>
        </is>
      </c>
      <c r="E1089" t="inlineStr">
        <is>
          <t>SÄVSJÖ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45853-2019</t>
        </is>
      </c>
      <c r="B1090" s="1" t="n">
        <v>43717</v>
      </c>
      <c r="C1090" s="1" t="n">
        <v>45828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46316-2019</t>
        </is>
      </c>
      <c r="B1091" s="1" t="n">
        <v>43718</v>
      </c>
      <c r="C1091" s="1" t="n">
        <v>45828</v>
      </c>
      <c r="D1091" t="inlineStr">
        <is>
          <t>JÖNKÖPINGS LÄN</t>
        </is>
      </c>
      <c r="E1091" t="inlineStr">
        <is>
          <t>MULLSJÖ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46324-2019</t>
        </is>
      </c>
      <c r="B1092" s="1" t="n">
        <v>43718</v>
      </c>
      <c r="C1092" s="1" t="n">
        <v>45828</v>
      </c>
      <c r="D1092" t="inlineStr">
        <is>
          <t>JÖNKÖPINGS LÄN</t>
        </is>
      </c>
      <c r="E1092" t="inlineStr">
        <is>
          <t>ANEBY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46331-2019</t>
        </is>
      </c>
      <c r="B1093" s="1" t="n">
        <v>43718</v>
      </c>
      <c r="C1093" s="1" t="n">
        <v>45828</v>
      </c>
      <c r="D1093" t="inlineStr">
        <is>
          <t>JÖNKÖPINGS LÄN</t>
        </is>
      </c>
      <c r="E1093" t="inlineStr">
        <is>
          <t>TRANÅS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46328-2019</t>
        </is>
      </c>
      <c r="B1094" s="1" t="n">
        <v>43718</v>
      </c>
      <c r="C1094" s="1" t="n">
        <v>45828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46059-2019</t>
        </is>
      </c>
      <c r="B1095" s="1" t="n">
        <v>43718</v>
      </c>
      <c r="C1095" s="1" t="n">
        <v>45828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46433-2019</t>
        </is>
      </c>
      <c r="B1096" s="1" t="n">
        <v>43718</v>
      </c>
      <c r="C1096" s="1" t="n">
        <v>45828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46076-2019</t>
        </is>
      </c>
      <c r="B1097" s="1" t="n">
        <v>43718</v>
      </c>
      <c r="C1097" s="1" t="n">
        <v>45828</v>
      </c>
      <c r="D1097" t="inlineStr">
        <is>
          <t>JÖNKÖPINGS LÄN</t>
        </is>
      </c>
      <c r="E1097" t="inlineStr">
        <is>
          <t>ANEBY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46148-2019</t>
        </is>
      </c>
      <c r="B1098" s="1" t="n">
        <v>43718</v>
      </c>
      <c r="C1098" s="1" t="n">
        <v>45828</v>
      </c>
      <c r="D1098" t="inlineStr">
        <is>
          <t>JÖNKÖPINGS LÄN</t>
        </is>
      </c>
      <c r="E1098" t="inlineStr">
        <is>
          <t>VETLANDA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45983-2019</t>
        </is>
      </c>
      <c r="B1099" s="1" t="n">
        <v>43718</v>
      </c>
      <c r="C1099" s="1" t="n">
        <v>45828</v>
      </c>
      <c r="D1099" t="inlineStr">
        <is>
          <t>JÖNKÖPINGS LÄN</t>
        </is>
      </c>
      <c r="E1099" t="inlineStr">
        <is>
          <t>EKSJÖ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46176-2019</t>
        </is>
      </c>
      <c r="B1100" s="1" t="n">
        <v>43718</v>
      </c>
      <c r="C1100" s="1" t="n">
        <v>45828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46332-2019</t>
        </is>
      </c>
      <c r="B1101" s="1" t="n">
        <v>43718</v>
      </c>
      <c r="C1101" s="1" t="n">
        <v>45828</v>
      </c>
      <c r="D1101" t="inlineStr">
        <is>
          <t>JÖNKÖPINGS LÄN</t>
        </is>
      </c>
      <c r="E1101" t="inlineStr">
        <is>
          <t>TRANÅS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46521-2019</t>
        </is>
      </c>
      <c r="B1102" s="1" t="n">
        <v>43719</v>
      </c>
      <c r="C1102" s="1" t="n">
        <v>45828</v>
      </c>
      <c r="D1102" t="inlineStr">
        <is>
          <t>JÖNKÖPINGS LÄN</t>
        </is>
      </c>
      <c r="E1102" t="inlineStr">
        <is>
          <t>ANEBY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46441-2019</t>
        </is>
      </c>
      <c r="B1103" s="1" t="n">
        <v>43719</v>
      </c>
      <c r="C1103" s="1" t="n">
        <v>45828</v>
      </c>
      <c r="D1103" t="inlineStr">
        <is>
          <t>JÖNKÖPINGS LÄN</t>
        </is>
      </c>
      <c r="E1103" t="inlineStr">
        <is>
          <t>VÄRNAMO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46417-2019</t>
        </is>
      </c>
      <c r="B1104" s="1" t="n">
        <v>43719</v>
      </c>
      <c r="C1104" s="1" t="n">
        <v>45828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46723-2019</t>
        </is>
      </c>
      <c r="B1105" s="1" t="n">
        <v>43719</v>
      </c>
      <c r="C1105" s="1" t="n">
        <v>45828</v>
      </c>
      <c r="D1105" t="inlineStr">
        <is>
          <t>JÖNKÖPINGS LÄN</t>
        </is>
      </c>
      <c r="E1105" t="inlineStr">
        <is>
          <t>JÖNKÖPING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46574-2019</t>
        </is>
      </c>
      <c r="B1106" s="1" t="n">
        <v>43719</v>
      </c>
      <c r="C1106" s="1" t="n">
        <v>45828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46487-2019</t>
        </is>
      </c>
      <c r="B1107" s="1" t="n">
        <v>43719</v>
      </c>
      <c r="C1107" s="1" t="n">
        <v>45828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46642-2019</t>
        </is>
      </c>
      <c r="B1108" s="1" t="n">
        <v>43719</v>
      </c>
      <c r="C1108" s="1" t="n">
        <v>45828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46973-2019</t>
        </is>
      </c>
      <c r="B1109" s="1" t="n">
        <v>43720</v>
      </c>
      <c r="C1109" s="1" t="n">
        <v>45828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46919-2019</t>
        </is>
      </c>
      <c r="B1110" s="1" t="n">
        <v>43720</v>
      </c>
      <c r="C1110" s="1" t="n">
        <v>45828</v>
      </c>
      <c r="D1110" t="inlineStr">
        <is>
          <t>JÖNKÖPINGS LÄN</t>
        </is>
      </c>
      <c r="E1110" t="inlineStr">
        <is>
          <t>TRANÅS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46994-2019</t>
        </is>
      </c>
      <c r="B1111" s="1" t="n">
        <v>43720</v>
      </c>
      <c r="C1111" s="1" t="n">
        <v>45828</v>
      </c>
      <c r="D1111" t="inlineStr">
        <is>
          <t>JÖNKÖPINGS LÄN</t>
        </is>
      </c>
      <c r="E1111" t="inlineStr">
        <is>
          <t>NÄSSJÖ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47019-2019</t>
        </is>
      </c>
      <c r="B1112" s="1" t="n">
        <v>43720</v>
      </c>
      <c r="C1112" s="1" t="n">
        <v>45828</v>
      </c>
      <c r="D1112" t="inlineStr">
        <is>
          <t>JÖNKÖPINGS LÄN</t>
        </is>
      </c>
      <c r="E1112" t="inlineStr">
        <is>
          <t>VETLANDA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47030-2019</t>
        </is>
      </c>
      <c r="B1113" s="1" t="n">
        <v>43720</v>
      </c>
      <c r="C1113" s="1" t="n">
        <v>45828</v>
      </c>
      <c r="D1113" t="inlineStr">
        <is>
          <t>JÖNKÖPINGS LÄN</t>
        </is>
      </c>
      <c r="E1113" t="inlineStr">
        <is>
          <t>VÄRNAMO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47052-2019</t>
        </is>
      </c>
      <c r="B1114" s="1" t="n">
        <v>43720</v>
      </c>
      <c r="C1114" s="1" t="n">
        <v>45828</v>
      </c>
      <c r="D1114" t="inlineStr">
        <is>
          <t>JÖNKÖPINGS LÄN</t>
        </is>
      </c>
      <c r="E1114" t="inlineStr">
        <is>
          <t>GISLAVED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47044-2019</t>
        </is>
      </c>
      <c r="B1115" s="1" t="n">
        <v>43720</v>
      </c>
      <c r="C1115" s="1" t="n">
        <v>45828</v>
      </c>
      <c r="D1115" t="inlineStr">
        <is>
          <t>JÖNKÖPINGS LÄN</t>
        </is>
      </c>
      <c r="E1115" t="inlineStr">
        <is>
          <t>GNOSJÖ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47199-2019</t>
        </is>
      </c>
      <c r="B1116" s="1" t="n">
        <v>43721</v>
      </c>
      <c r="C1116" s="1" t="n">
        <v>45828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47333-2019</t>
        </is>
      </c>
      <c r="B1117" s="1" t="n">
        <v>43721</v>
      </c>
      <c r="C1117" s="1" t="n">
        <v>45828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47213-2019</t>
        </is>
      </c>
      <c r="B1118" s="1" t="n">
        <v>43721</v>
      </c>
      <c r="C1118" s="1" t="n">
        <v>45828</v>
      </c>
      <c r="D1118" t="inlineStr">
        <is>
          <t>JÖNKÖPINGS LÄN</t>
        </is>
      </c>
      <c r="E1118" t="inlineStr">
        <is>
          <t>VÄRNAMO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47293-2019</t>
        </is>
      </c>
      <c r="B1119" s="1" t="n">
        <v>43721</v>
      </c>
      <c r="C1119" s="1" t="n">
        <v>45828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47289-2019</t>
        </is>
      </c>
      <c r="B1120" s="1" t="n">
        <v>43721</v>
      </c>
      <c r="C1120" s="1" t="n">
        <v>45828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47660-2019</t>
        </is>
      </c>
      <c r="B1121" s="1" t="n">
        <v>43724</v>
      </c>
      <c r="C1121" s="1" t="n">
        <v>45828</v>
      </c>
      <c r="D1121" t="inlineStr">
        <is>
          <t>JÖNKÖPINGS LÄN</t>
        </is>
      </c>
      <c r="E1121" t="inlineStr">
        <is>
          <t>JÖNKÖPING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47614-2019</t>
        </is>
      </c>
      <c r="B1122" s="1" t="n">
        <v>43724</v>
      </c>
      <c r="C1122" s="1" t="n">
        <v>45828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47762-2019</t>
        </is>
      </c>
      <c r="B1123" s="1" t="n">
        <v>43724</v>
      </c>
      <c r="C1123" s="1" t="n">
        <v>45828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47794-2019</t>
        </is>
      </c>
      <c r="B1124" s="1" t="n">
        <v>43724</v>
      </c>
      <c r="C1124" s="1" t="n">
        <v>45828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47707-2019</t>
        </is>
      </c>
      <c r="B1125" s="1" t="n">
        <v>43724</v>
      </c>
      <c r="C1125" s="1" t="n">
        <v>45828</v>
      </c>
      <c r="D1125" t="inlineStr">
        <is>
          <t>JÖNKÖPINGS LÄN</t>
        </is>
      </c>
      <c r="E1125" t="inlineStr">
        <is>
          <t>MULLSJÖ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47736-2019</t>
        </is>
      </c>
      <c r="B1126" s="1" t="n">
        <v>43724</v>
      </c>
      <c r="C1126" s="1" t="n">
        <v>45828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47978-2019</t>
        </is>
      </c>
      <c r="B1127" s="1" t="n">
        <v>43724</v>
      </c>
      <c r="C1127" s="1" t="n">
        <v>45828</v>
      </c>
      <c r="D1127" t="inlineStr">
        <is>
          <t>JÖNKÖPINGS LÄN</t>
        </is>
      </c>
      <c r="E1127" t="inlineStr">
        <is>
          <t>VÄRNAMO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47661-2019</t>
        </is>
      </c>
      <c r="B1128" s="1" t="n">
        <v>43724</v>
      </c>
      <c r="C1128" s="1" t="n">
        <v>45828</v>
      </c>
      <c r="D1128" t="inlineStr">
        <is>
          <t>JÖNKÖPINGS LÄN</t>
        </is>
      </c>
      <c r="E1128" t="inlineStr">
        <is>
          <t>EKSJÖ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47872-2019</t>
        </is>
      </c>
      <c r="B1129" s="1" t="n">
        <v>43725</v>
      </c>
      <c r="C1129" s="1" t="n">
        <v>45828</v>
      </c>
      <c r="D1129" t="inlineStr">
        <is>
          <t>JÖNKÖPINGS LÄN</t>
        </is>
      </c>
      <c r="E1129" t="inlineStr">
        <is>
          <t>NÄSSJÖ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47982-2019</t>
        </is>
      </c>
      <c r="B1130" s="1" t="n">
        <v>43725</v>
      </c>
      <c r="C1130" s="1" t="n">
        <v>45828</v>
      </c>
      <c r="D1130" t="inlineStr">
        <is>
          <t>JÖNKÖPINGS LÄN</t>
        </is>
      </c>
      <c r="E1130" t="inlineStr">
        <is>
          <t>GISLAVED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47861-2019</t>
        </is>
      </c>
      <c r="B1131" s="1" t="n">
        <v>43725</v>
      </c>
      <c r="C1131" s="1" t="n">
        <v>45828</v>
      </c>
      <c r="D1131" t="inlineStr">
        <is>
          <t>JÖNKÖPINGS LÄN</t>
        </is>
      </c>
      <c r="E1131" t="inlineStr">
        <is>
          <t>ANEBY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47965-2019</t>
        </is>
      </c>
      <c r="B1132" s="1" t="n">
        <v>43725</v>
      </c>
      <c r="C1132" s="1" t="n">
        <v>45828</v>
      </c>
      <c r="D1132" t="inlineStr">
        <is>
          <t>JÖNKÖPINGS LÄN</t>
        </is>
      </c>
      <c r="E1132" t="inlineStr">
        <is>
          <t>EKSJÖ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48035-2019</t>
        </is>
      </c>
      <c r="B1133" s="1" t="n">
        <v>43725</v>
      </c>
      <c r="C1133" s="1" t="n">
        <v>45828</v>
      </c>
      <c r="D1133" t="inlineStr">
        <is>
          <t>JÖNKÖPINGS LÄN</t>
        </is>
      </c>
      <c r="E1133" t="inlineStr">
        <is>
          <t>GNOSJÖ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48042-2019</t>
        </is>
      </c>
      <c r="B1134" s="1" t="n">
        <v>43725</v>
      </c>
      <c r="C1134" s="1" t="n">
        <v>45828</v>
      </c>
      <c r="D1134" t="inlineStr">
        <is>
          <t>JÖNKÖPINGS LÄN</t>
        </is>
      </c>
      <c r="E1134" t="inlineStr">
        <is>
          <t>VÄRNAMO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48107-2019</t>
        </is>
      </c>
      <c r="B1135" s="1" t="n">
        <v>43725</v>
      </c>
      <c r="C1135" s="1" t="n">
        <v>45828</v>
      </c>
      <c r="D1135" t="inlineStr">
        <is>
          <t>JÖNKÖPINGS LÄN</t>
        </is>
      </c>
      <c r="E1135" t="inlineStr">
        <is>
          <t>VÄRNAMO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48168-2019</t>
        </is>
      </c>
      <c r="B1136" s="1" t="n">
        <v>43726</v>
      </c>
      <c r="C1136" s="1" t="n">
        <v>45828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48278-2019</t>
        </is>
      </c>
      <c r="B1137" s="1" t="n">
        <v>43726</v>
      </c>
      <c r="C1137" s="1" t="n">
        <v>45828</v>
      </c>
      <c r="D1137" t="inlineStr">
        <is>
          <t>JÖNKÖPINGS LÄN</t>
        </is>
      </c>
      <c r="E1137" t="inlineStr">
        <is>
          <t>SÄVSJÖ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48386-2019</t>
        </is>
      </c>
      <c r="B1138" s="1" t="n">
        <v>43726</v>
      </c>
      <c r="C1138" s="1" t="n">
        <v>45828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48209-2019</t>
        </is>
      </c>
      <c r="B1139" s="1" t="n">
        <v>43726</v>
      </c>
      <c r="C1139" s="1" t="n">
        <v>45828</v>
      </c>
      <c r="D1139" t="inlineStr">
        <is>
          <t>JÖNKÖPINGS LÄN</t>
        </is>
      </c>
      <c r="E1139" t="inlineStr">
        <is>
          <t>VETLANDA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48281-2019</t>
        </is>
      </c>
      <c r="B1140" s="1" t="n">
        <v>43726</v>
      </c>
      <c r="C1140" s="1" t="n">
        <v>45828</v>
      </c>
      <c r="D1140" t="inlineStr">
        <is>
          <t>JÖNKÖPINGS LÄN</t>
        </is>
      </c>
      <c r="E1140" t="inlineStr">
        <is>
          <t>NÄSSJÖ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48388-2019</t>
        </is>
      </c>
      <c r="B1141" s="1" t="n">
        <v>43726</v>
      </c>
      <c r="C1141" s="1" t="n">
        <v>45828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48498-2019</t>
        </is>
      </c>
      <c r="B1142" s="1" t="n">
        <v>43726</v>
      </c>
      <c r="C1142" s="1" t="n">
        <v>45828</v>
      </c>
      <c r="D1142" t="inlineStr">
        <is>
          <t>JÖNKÖPINGS LÄN</t>
        </is>
      </c>
      <c r="E1142" t="inlineStr">
        <is>
          <t>ANEBY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48408-2019</t>
        </is>
      </c>
      <c r="B1143" s="1" t="n">
        <v>43727</v>
      </c>
      <c r="C1143" s="1" t="n">
        <v>45828</v>
      </c>
      <c r="D1143" t="inlineStr">
        <is>
          <t>JÖNKÖPINGS LÄN</t>
        </is>
      </c>
      <c r="E1143" t="inlineStr">
        <is>
          <t>GISLAVED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48423-2019</t>
        </is>
      </c>
      <c r="B1144" s="1" t="n">
        <v>43727</v>
      </c>
      <c r="C1144" s="1" t="n">
        <v>45828</v>
      </c>
      <c r="D1144" t="inlineStr">
        <is>
          <t>JÖNKÖPINGS LÄN</t>
        </is>
      </c>
      <c r="E1144" t="inlineStr">
        <is>
          <t>GISLAVED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48533-2019</t>
        </is>
      </c>
      <c r="B1145" s="1" t="n">
        <v>43727</v>
      </c>
      <c r="C1145" s="1" t="n">
        <v>45828</v>
      </c>
      <c r="D1145" t="inlineStr">
        <is>
          <t>JÖNKÖPINGS LÄN</t>
        </is>
      </c>
      <c r="E1145" t="inlineStr">
        <is>
          <t>GNOSJÖ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48426-2019</t>
        </is>
      </c>
      <c r="B1146" s="1" t="n">
        <v>43727</v>
      </c>
      <c r="C1146" s="1" t="n">
        <v>45828</v>
      </c>
      <c r="D1146" t="inlineStr">
        <is>
          <t>JÖNKÖPINGS LÄN</t>
        </is>
      </c>
      <c r="E1146" t="inlineStr">
        <is>
          <t>EKSJÖ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49160-2019</t>
        </is>
      </c>
      <c r="B1147" s="1" t="n">
        <v>43727</v>
      </c>
      <c r="C1147" s="1" t="n">
        <v>45828</v>
      </c>
      <c r="D1147" t="inlineStr">
        <is>
          <t>JÖNKÖPINGS LÄN</t>
        </is>
      </c>
      <c r="E1147" t="inlineStr">
        <is>
          <t>GNOSJÖ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48421-2019</t>
        </is>
      </c>
      <c r="B1148" s="1" t="n">
        <v>43727</v>
      </c>
      <c r="C1148" s="1" t="n">
        <v>45828</v>
      </c>
      <c r="D1148" t="inlineStr">
        <is>
          <t>JÖNKÖPINGS LÄN</t>
        </is>
      </c>
      <c r="E1148" t="inlineStr">
        <is>
          <t>GISLAVED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48913-2019</t>
        </is>
      </c>
      <c r="B1149" s="1" t="n">
        <v>43728</v>
      </c>
      <c r="C1149" s="1" t="n">
        <v>45828</v>
      </c>
      <c r="D1149" t="inlineStr">
        <is>
          <t>JÖNKÖPINGS LÄN</t>
        </is>
      </c>
      <c r="E1149" t="inlineStr">
        <is>
          <t>HABO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49478-2019</t>
        </is>
      </c>
      <c r="B1150" s="1" t="n">
        <v>43728</v>
      </c>
      <c r="C1150" s="1" t="n">
        <v>45828</v>
      </c>
      <c r="D1150" t="inlineStr">
        <is>
          <t>JÖNKÖPINGS LÄN</t>
        </is>
      </c>
      <c r="E1150" t="inlineStr">
        <is>
          <t>VETLANDA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48987-2019</t>
        </is>
      </c>
      <c r="B1151" s="1" t="n">
        <v>43729</v>
      </c>
      <c r="C1151" s="1" t="n">
        <v>45828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49061-2019</t>
        </is>
      </c>
      <c r="B1152" s="1" t="n">
        <v>43731</v>
      </c>
      <c r="C1152" s="1" t="n">
        <v>45828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49257-2019</t>
        </is>
      </c>
      <c r="B1153" s="1" t="n">
        <v>43731</v>
      </c>
      <c r="C1153" s="1" t="n">
        <v>45828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49222-2019</t>
        </is>
      </c>
      <c r="B1154" s="1" t="n">
        <v>43731</v>
      </c>
      <c r="C1154" s="1" t="n">
        <v>45828</v>
      </c>
      <c r="D1154" t="inlineStr">
        <is>
          <t>JÖNKÖPINGS LÄN</t>
        </is>
      </c>
      <c r="E1154" t="inlineStr">
        <is>
          <t>GNOSJÖ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51043-2019</t>
        </is>
      </c>
      <c r="B1155" s="1" t="n">
        <v>43731</v>
      </c>
      <c r="C1155" s="1" t="n">
        <v>45828</v>
      </c>
      <c r="D1155" t="inlineStr">
        <is>
          <t>JÖNKÖPINGS LÄN</t>
        </is>
      </c>
      <c r="E1155" t="inlineStr">
        <is>
          <t>JÖNKÖPING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49437-2019</t>
        </is>
      </c>
      <c r="B1156" s="1" t="n">
        <v>43732</v>
      </c>
      <c r="C1156" s="1" t="n">
        <v>45828</v>
      </c>
      <c r="D1156" t="inlineStr">
        <is>
          <t>JÖNKÖPINGS LÄN</t>
        </is>
      </c>
      <c r="E1156" t="inlineStr">
        <is>
          <t>EKSJÖ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49443-2019</t>
        </is>
      </c>
      <c r="B1157" s="1" t="n">
        <v>43732</v>
      </c>
      <c r="C1157" s="1" t="n">
        <v>45828</v>
      </c>
      <c r="D1157" t="inlineStr">
        <is>
          <t>JÖNKÖPINGS LÄN</t>
        </is>
      </c>
      <c r="E1157" t="inlineStr">
        <is>
          <t>EKSJÖ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49466-2019</t>
        </is>
      </c>
      <c r="B1158" s="1" t="n">
        <v>43732</v>
      </c>
      <c r="C1158" s="1" t="n">
        <v>45828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49438-2019</t>
        </is>
      </c>
      <c r="B1159" s="1" t="n">
        <v>43732</v>
      </c>
      <c r="C1159" s="1" t="n">
        <v>45828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49593-2019</t>
        </is>
      </c>
      <c r="B1160" s="1" t="n">
        <v>43732</v>
      </c>
      <c r="C1160" s="1" t="n">
        <v>45828</v>
      </c>
      <c r="D1160" t="inlineStr">
        <is>
          <t>JÖNKÖPINGS LÄN</t>
        </is>
      </c>
      <c r="E1160" t="inlineStr">
        <is>
          <t>TRANÅS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49604-2019</t>
        </is>
      </c>
      <c r="B1161" s="1" t="n">
        <v>43732</v>
      </c>
      <c r="C1161" s="1" t="n">
        <v>45828</v>
      </c>
      <c r="D1161" t="inlineStr">
        <is>
          <t>JÖNKÖPINGS LÄN</t>
        </is>
      </c>
      <c r="E1161" t="inlineStr">
        <is>
          <t>HABO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49599-2019</t>
        </is>
      </c>
      <c r="B1162" s="1" t="n">
        <v>43732</v>
      </c>
      <c r="C1162" s="1" t="n">
        <v>45828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49670-2019</t>
        </is>
      </c>
      <c r="B1163" s="1" t="n">
        <v>43732</v>
      </c>
      <c r="C1163" s="1" t="n">
        <v>45828</v>
      </c>
      <c r="D1163" t="inlineStr">
        <is>
          <t>JÖNKÖPINGS LÄN</t>
        </is>
      </c>
      <c r="E1163" t="inlineStr">
        <is>
          <t>NÄSSJÖ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49444-2019</t>
        </is>
      </c>
      <c r="B1164" s="1" t="n">
        <v>43732</v>
      </c>
      <c r="C1164" s="1" t="n">
        <v>45828</v>
      </c>
      <c r="D1164" t="inlineStr">
        <is>
          <t>JÖNKÖPINGS LÄN</t>
        </is>
      </c>
      <c r="E1164" t="inlineStr">
        <is>
          <t>EKSJÖ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49790-2019</t>
        </is>
      </c>
      <c r="B1165" s="1" t="n">
        <v>43733</v>
      </c>
      <c r="C1165" s="1" t="n">
        <v>45828</v>
      </c>
      <c r="D1165" t="inlineStr">
        <is>
          <t>JÖNKÖPINGS LÄN</t>
        </is>
      </c>
      <c r="E1165" t="inlineStr">
        <is>
          <t>HABO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49704-2019</t>
        </is>
      </c>
      <c r="B1166" s="1" t="n">
        <v>43733</v>
      </c>
      <c r="C1166" s="1" t="n">
        <v>45828</v>
      </c>
      <c r="D1166" t="inlineStr">
        <is>
          <t>JÖNKÖPINGS LÄN</t>
        </is>
      </c>
      <c r="E1166" t="inlineStr">
        <is>
          <t>EKSJÖ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49910-2019</t>
        </is>
      </c>
      <c r="B1167" s="1" t="n">
        <v>43733</v>
      </c>
      <c r="C1167" s="1" t="n">
        <v>45828</v>
      </c>
      <c r="D1167" t="inlineStr">
        <is>
          <t>JÖNKÖPINGS LÄN</t>
        </is>
      </c>
      <c r="E1167" t="inlineStr">
        <is>
          <t>NÄSSJÖ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50141-2019</t>
        </is>
      </c>
      <c r="B1168" s="1" t="n">
        <v>43734</v>
      </c>
      <c r="C1168" s="1" t="n">
        <v>45828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50254-2019</t>
        </is>
      </c>
      <c r="B1169" s="1" t="n">
        <v>43734</v>
      </c>
      <c r="C1169" s="1" t="n">
        <v>45828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50194-2019</t>
        </is>
      </c>
      <c r="B1170" s="1" t="n">
        <v>43734</v>
      </c>
      <c r="C1170" s="1" t="n">
        <v>45828</v>
      </c>
      <c r="D1170" t="inlineStr">
        <is>
          <t>JÖNKÖPINGS LÄN</t>
        </is>
      </c>
      <c r="E1170" t="inlineStr">
        <is>
          <t>JÖNKÖPING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50242-2019</t>
        </is>
      </c>
      <c r="B1171" s="1" t="n">
        <v>43734</v>
      </c>
      <c r="C1171" s="1" t="n">
        <v>45828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50383-2019</t>
        </is>
      </c>
      <c r="B1172" s="1" t="n">
        <v>43735</v>
      </c>
      <c r="C1172" s="1" t="n">
        <v>45828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53002-2019</t>
        </is>
      </c>
      <c r="B1173" s="1" t="n">
        <v>43735</v>
      </c>
      <c r="C1173" s="1" t="n">
        <v>45828</v>
      </c>
      <c r="D1173" t="inlineStr">
        <is>
          <t>JÖNKÖPINGS LÄN</t>
        </is>
      </c>
      <c r="E1173" t="inlineStr">
        <is>
          <t>ANEBY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50609-2019</t>
        </is>
      </c>
      <c r="B1174" s="1" t="n">
        <v>43736</v>
      </c>
      <c r="C1174" s="1" t="n">
        <v>45828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50608-2019</t>
        </is>
      </c>
      <c r="B1175" s="1" t="n">
        <v>43736</v>
      </c>
      <c r="C1175" s="1" t="n">
        <v>45828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50904-2019</t>
        </is>
      </c>
      <c r="B1176" s="1" t="n">
        <v>43738</v>
      </c>
      <c r="C1176" s="1" t="n">
        <v>45828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50935-2019</t>
        </is>
      </c>
      <c r="B1177" s="1" t="n">
        <v>43738</v>
      </c>
      <c r="C1177" s="1" t="n">
        <v>45828</v>
      </c>
      <c r="D1177" t="inlineStr">
        <is>
          <t>JÖNKÖPINGS LÄN</t>
        </is>
      </c>
      <c r="E1177" t="inlineStr">
        <is>
          <t>VETLANDA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51287-2019</t>
        </is>
      </c>
      <c r="B1178" s="1" t="n">
        <v>43739</v>
      </c>
      <c r="C1178" s="1" t="n">
        <v>45828</v>
      </c>
      <c r="D1178" t="inlineStr">
        <is>
          <t>JÖNKÖPINGS LÄN</t>
        </is>
      </c>
      <c r="E1178" t="inlineStr">
        <is>
          <t>JÖNKÖPING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51339-2019</t>
        </is>
      </c>
      <c r="B1179" s="1" t="n">
        <v>43740</v>
      </c>
      <c r="C1179" s="1" t="n">
        <v>45828</v>
      </c>
      <c r="D1179" t="inlineStr">
        <is>
          <t>JÖNKÖPINGS LÄN</t>
        </is>
      </c>
      <c r="E1179" t="inlineStr">
        <is>
          <t>JÖNKÖPING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51499-2019</t>
        </is>
      </c>
      <c r="B1180" s="1" t="n">
        <v>43740</v>
      </c>
      <c r="C1180" s="1" t="n">
        <v>45828</v>
      </c>
      <c r="D1180" t="inlineStr">
        <is>
          <t>JÖNKÖPINGS LÄN</t>
        </is>
      </c>
      <c r="E1180" t="inlineStr">
        <is>
          <t>NÄSSJÖ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52825-2019</t>
        </is>
      </c>
      <c r="B1181" s="1" t="n">
        <v>43740</v>
      </c>
      <c r="C1181" s="1" t="n">
        <v>45828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51626-2019</t>
        </is>
      </c>
      <c r="B1182" s="1" t="n">
        <v>43740</v>
      </c>
      <c r="C1182" s="1" t="n">
        <v>45828</v>
      </c>
      <c r="D1182" t="inlineStr">
        <is>
          <t>JÖNKÖPINGS LÄN</t>
        </is>
      </c>
      <c r="E1182" t="inlineStr">
        <is>
          <t>NÄSSJÖ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51532-2019</t>
        </is>
      </c>
      <c r="B1183" s="1" t="n">
        <v>43740</v>
      </c>
      <c r="C1183" s="1" t="n">
        <v>45828</v>
      </c>
      <c r="D1183" t="inlineStr">
        <is>
          <t>JÖNKÖPINGS LÄN</t>
        </is>
      </c>
      <c r="E1183" t="inlineStr">
        <is>
          <t>TRANÅS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51799-2019</t>
        </is>
      </c>
      <c r="B1184" s="1" t="n">
        <v>43741</v>
      </c>
      <c r="C1184" s="1" t="n">
        <v>45828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51817-2019</t>
        </is>
      </c>
      <c r="B1185" s="1" t="n">
        <v>43741</v>
      </c>
      <c r="C1185" s="1" t="n">
        <v>45828</v>
      </c>
      <c r="D1185" t="inlineStr">
        <is>
          <t>JÖNKÖPINGS LÄN</t>
        </is>
      </c>
      <c r="E1185" t="inlineStr">
        <is>
          <t>GNOSJÖ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52067-2019</t>
        </is>
      </c>
      <c r="B1186" s="1" t="n">
        <v>43742</v>
      </c>
      <c r="C1186" s="1" t="n">
        <v>45828</v>
      </c>
      <c r="D1186" t="inlineStr">
        <is>
          <t>JÖNKÖPINGS LÄN</t>
        </is>
      </c>
      <c r="E1186" t="inlineStr">
        <is>
          <t>GNOSJÖ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51963-2019</t>
        </is>
      </c>
      <c r="B1187" s="1" t="n">
        <v>43742</v>
      </c>
      <c r="C1187" s="1" t="n">
        <v>45828</v>
      </c>
      <c r="D1187" t="inlineStr">
        <is>
          <t>JÖNKÖPINGS LÄN</t>
        </is>
      </c>
      <c r="E1187" t="inlineStr">
        <is>
          <t>TRANÅS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51991-2019</t>
        </is>
      </c>
      <c r="B1188" s="1" t="n">
        <v>43742</v>
      </c>
      <c r="C1188" s="1" t="n">
        <v>45828</v>
      </c>
      <c r="D1188" t="inlineStr">
        <is>
          <t>JÖNKÖPINGS LÄN</t>
        </is>
      </c>
      <c r="E1188" t="inlineStr">
        <is>
          <t>GISLAVED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52124-2019</t>
        </is>
      </c>
      <c r="B1189" s="1" t="n">
        <v>43742</v>
      </c>
      <c r="C1189" s="1" t="n">
        <v>45828</v>
      </c>
      <c r="D1189" t="inlineStr">
        <is>
          <t>JÖNKÖPINGS LÄN</t>
        </is>
      </c>
      <c r="E1189" t="inlineStr">
        <is>
          <t>NÄSSJÖ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52203-2019</t>
        </is>
      </c>
      <c r="B1190" s="1" t="n">
        <v>43742</v>
      </c>
      <c r="C1190" s="1" t="n">
        <v>45828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52159-2019</t>
        </is>
      </c>
      <c r="B1191" s="1" t="n">
        <v>43742</v>
      </c>
      <c r="C1191" s="1" t="n">
        <v>45828</v>
      </c>
      <c r="D1191" t="inlineStr">
        <is>
          <t>JÖNKÖPINGS LÄN</t>
        </is>
      </c>
      <c r="E1191" t="inlineStr">
        <is>
          <t>EKSJÖ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54056-2019</t>
        </is>
      </c>
      <c r="B1192" s="1" t="n">
        <v>43742</v>
      </c>
      <c r="C1192" s="1" t="n">
        <v>45828</v>
      </c>
      <c r="D1192" t="inlineStr">
        <is>
          <t>JÖNKÖPINGS LÄN</t>
        </is>
      </c>
      <c r="E1192" t="inlineStr">
        <is>
          <t>VÄRNAMO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52093-2019</t>
        </is>
      </c>
      <c r="B1193" s="1" t="n">
        <v>43742</v>
      </c>
      <c r="C1193" s="1" t="n">
        <v>45828</v>
      </c>
      <c r="D1193" t="inlineStr">
        <is>
          <t>JÖNKÖPINGS LÄN</t>
        </is>
      </c>
      <c r="E1193" t="inlineStr">
        <is>
          <t>JÖNKÖPING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52202-2019</t>
        </is>
      </c>
      <c r="B1194" s="1" t="n">
        <v>43742</v>
      </c>
      <c r="C1194" s="1" t="n">
        <v>45828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52076-2019</t>
        </is>
      </c>
      <c r="B1195" s="1" t="n">
        <v>43742</v>
      </c>
      <c r="C1195" s="1" t="n">
        <v>45828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53926-2019</t>
        </is>
      </c>
      <c r="B1196" s="1" t="n">
        <v>43742</v>
      </c>
      <c r="C1196" s="1" t="n">
        <v>45828</v>
      </c>
      <c r="D1196" t="inlineStr">
        <is>
          <t>JÖNKÖPINGS LÄN</t>
        </is>
      </c>
      <c r="E1196" t="inlineStr">
        <is>
          <t>HABO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52190-2019</t>
        </is>
      </c>
      <c r="B1197" s="1" t="n">
        <v>43742</v>
      </c>
      <c r="C1197" s="1" t="n">
        <v>45828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52286-2019</t>
        </is>
      </c>
      <c r="B1198" s="1" t="n">
        <v>43744</v>
      </c>
      <c r="C1198" s="1" t="n">
        <v>45828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52287-2019</t>
        </is>
      </c>
      <c r="B1199" s="1" t="n">
        <v>43744</v>
      </c>
      <c r="C1199" s="1" t="n">
        <v>45828</v>
      </c>
      <c r="D1199" t="inlineStr">
        <is>
          <t>JÖNKÖPINGS LÄN</t>
        </is>
      </c>
      <c r="E1199" t="inlineStr">
        <is>
          <t>VÄRNAMO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52327-2019</t>
        </is>
      </c>
      <c r="B1200" s="1" t="n">
        <v>43745</v>
      </c>
      <c r="C1200" s="1" t="n">
        <v>45828</v>
      </c>
      <c r="D1200" t="inlineStr">
        <is>
          <t>JÖNKÖPINGS LÄN</t>
        </is>
      </c>
      <c r="E1200" t="inlineStr">
        <is>
          <t>TRANÅS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52443-2019</t>
        </is>
      </c>
      <c r="B1201" s="1" t="n">
        <v>43745</v>
      </c>
      <c r="C1201" s="1" t="n">
        <v>45828</v>
      </c>
      <c r="D1201" t="inlineStr">
        <is>
          <t>JÖNKÖPINGS LÄN</t>
        </is>
      </c>
      <c r="E1201" t="inlineStr">
        <is>
          <t>JÖNKÖPING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52417-2019</t>
        </is>
      </c>
      <c r="B1202" s="1" t="n">
        <v>43745</v>
      </c>
      <c r="C1202" s="1" t="n">
        <v>45828</v>
      </c>
      <c r="D1202" t="inlineStr">
        <is>
          <t>JÖNKÖPINGS LÄN</t>
        </is>
      </c>
      <c r="E1202" t="inlineStr">
        <is>
          <t>GNOSJÖ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52381-2019</t>
        </is>
      </c>
      <c r="B1203" s="1" t="n">
        <v>43745</v>
      </c>
      <c r="C1203" s="1" t="n">
        <v>45828</v>
      </c>
      <c r="D1203" t="inlineStr">
        <is>
          <t>JÖNKÖPINGS LÄN</t>
        </is>
      </c>
      <c r="E1203" t="inlineStr">
        <is>
          <t>ANEBY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52515-2019</t>
        </is>
      </c>
      <c r="B1204" s="1" t="n">
        <v>43745</v>
      </c>
      <c r="C1204" s="1" t="n">
        <v>45828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54227-2019</t>
        </is>
      </c>
      <c r="B1205" s="1" t="n">
        <v>43745</v>
      </c>
      <c r="C1205" s="1" t="n">
        <v>45828</v>
      </c>
      <c r="D1205" t="inlineStr">
        <is>
          <t>JÖNKÖPINGS LÄN</t>
        </is>
      </c>
      <c r="E1205" t="inlineStr">
        <is>
          <t>GNOSJÖ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52601-2019</t>
        </is>
      </c>
      <c r="B1206" s="1" t="n">
        <v>43746</v>
      </c>
      <c r="C1206" s="1" t="n">
        <v>45828</v>
      </c>
      <c r="D1206" t="inlineStr">
        <is>
          <t>JÖNKÖPINGS LÄN</t>
        </is>
      </c>
      <c r="E1206" t="inlineStr">
        <is>
          <t>EKSJÖ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52902-2019</t>
        </is>
      </c>
      <c r="B1207" s="1" t="n">
        <v>43746</v>
      </c>
      <c r="C1207" s="1" t="n">
        <v>45828</v>
      </c>
      <c r="D1207" t="inlineStr">
        <is>
          <t>JÖNKÖPINGS LÄN</t>
        </is>
      </c>
      <c r="E1207" t="inlineStr">
        <is>
          <t>SÄVSJÖ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53113-2019</t>
        </is>
      </c>
      <c r="B1208" s="1" t="n">
        <v>43747</v>
      </c>
      <c r="C1208" s="1" t="n">
        <v>45828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54469-2019</t>
        </is>
      </c>
      <c r="B1209" s="1" t="n">
        <v>43747</v>
      </c>
      <c r="C1209" s="1" t="n">
        <v>45828</v>
      </c>
      <c r="D1209" t="inlineStr">
        <is>
          <t>JÖNKÖPINGS LÄN</t>
        </is>
      </c>
      <c r="E1209" t="inlineStr">
        <is>
          <t>TRANÅS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53284-2019</t>
        </is>
      </c>
      <c r="B1210" s="1" t="n">
        <v>43748</v>
      </c>
      <c r="C1210" s="1" t="n">
        <v>45828</v>
      </c>
      <c r="D1210" t="inlineStr">
        <is>
          <t>JÖNKÖPINGS LÄN</t>
        </is>
      </c>
      <c r="E1210" t="inlineStr">
        <is>
          <t>VÄRNAMO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53435-2019</t>
        </is>
      </c>
      <c r="B1211" s="1" t="n">
        <v>43748</v>
      </c>
      <c r="C1211" s="1" t="n">
        <v>45828</v>
      </c>
      <c r="D1211" t="inlineStr">
        <is>
          <t>JÖNKÖPINGS LÄN</t>
        </is>
      </c>
      <c r="E1211" t="inlineStr">
        <is>
          <t>NÄSSJÖ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54908-2019</t>
        </is>
      </c>
      <c r="B1212" s="1" t="n">
        <v>43749</v>
      </c>
      <c r="C1212" s="1" t="n">
        <v>45828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53734-2019</t>
        </is>
      </c>
      <c r="B1213" s="1" t="n">
        <v>43749</v>
      </c>
      <c r="C1213" s="1" t="n">
        <v>45828</v>
      </c>
      <c r="D1213" t="inlineStr">
        <is>
          <t>JÖNKÖPINGS LÄN</t>
        </is>
      </c>
      <c r="E1213" t="inlineStr">
        <is>
          <t>EKSJÖ</t>
        </is>
      </c>
      <c r="F1213" t="inlineStr">
        <is>
          <t>Övriga Aktiebolag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54897-2019</t>
        </is>
      </c>
      <c r="B1214" s="1" t="n">
        <v>43749</v>
      </c>
      <c r="C1214" s="1" t="n">
        <v>45828</v>
      </c>
      <c r="D1214" t="inlineStr">
        <is>
          <t>JÖNKÖPINGS LÄN</t>
        </is>
      </c>
      <c r="E1214" t="inlineStr">
        <is>
          <t>VETLANDA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53916-2019</t>
        </is>
      </c>
      <c r="B1215" s="1" t="n">
        <v>43752</v>
      </c>
      <c r="C1215" s="1" t="n">
        <v>45828</v>
      </c>
      <c r="D1215" t="inlineStr">
        <is>
          <t>JÖNKÖPINGS LÄN</t>
        </is>
      </c>
      <c r="E1215" t="inlineStr">
        <is>
          <t>EKSJÖ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53964-2019</t>
        </is>
      </c>
      <c r="B1216" s="1" t="n">
        <v>43752</v>
      </c>
      <c r="C1216" s="1" t="n">
        <v>45828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54117-2019</t>
        </is>
      </c>
      <c r="B1217" s="1" t="n">
        <v>43752</v>
      </c>
      <c r="C1217" s="1" t="n">
        <v>45828</v>
      </c>
      <c r="D1217" t="inlineStr">
        <is>
          <t>JÖNKÖPINGS LÄN</t>
        </is>
      </c>
      <c r="E1217" t="inlineStr">
        <is>
          <t>SÄVSJÖ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54088-2019</t>
        </is>
      </c>
      <c r="B1218" s="1" t="n">
        <v>43752</v>
      </c>
      <c r="C1218" s="1" t="n">
        <v>45828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54086-2019</t>
        </is>
      </c>
      <c r="B1219" s="1" t="n">
        <v>43752</v>
      </c>
      <c r="C1219" s="1" t="n">
        <v>45828</v>
      </c>
      <c r="D1219" t="inlineStr">
        <is>
          <t>JÖNKÖPINGS LÄN</t>
        </is>
      </c>
      <c r="E1219" t="inlineStr">
        <is>
          <t>JÖNKÖPING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54256-2019</t>
        </is>
      </c>
      <c r="B1220" s="1" t="n">
        <v>43753</v>
      </c>
      <c r="C1220" s="1" t="n">
        <v>45828</v>
      </c>
      <c r="D1220" t="inlineStr">
        <is>
          <t>JÖNKÖPINGS LÄN</t>
        </is>
      </c>
      <c r="E1220" t="inlineStr">
        <is>
          <t>NÄSSJÖ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54262-2019</t>
        </is>
      </c>
      <c r="B1221" s="1" t="n">
        <v>43753</v>
      </c>
      <c r="C1221" s="1" t="n">
        <v>45828</v>
      </c>
      <c r="D1221" t="inlineStr">
        <is>
          <t>JÖNKÖPINGS LÄN</t>
        </is>
      </c>
      <c r="E1221" t="inlineStr">
        <is>
          <t>NÄSSJÖ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55281-2019</t>
        </is>
      </c>
      <c r="B1222" s="1" t="n">
        <v>43753</v>
      </c>
      <c r="C1222" s="1" t="n">
        <v>45828</v>
      </c>
      <c r="D1222" t="inlineStr">
        <is>
          <t>JÖNKÖPINGS LÄN</t>
        </is>
      </c>
      <c r="E1222" t="inlineStr">
        <is>
          <t>TRANÅS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54331-2019</t>
        </is>
      </c>
      <c r="B1223" s="1" t="n">
        <v>43753</v>
      </c>
      <c r="C1223" s="1" t="n">
        <v>45828</v>
      </c>
      <c r="D1223" t="inlineStr">
        <is>
          <t>JÖNKÖPINGS LÄN</t>
        </is>
      </c>
      <c r="E1223" t="inlineStr">
        <is>
          <t>TRANÅS</t>
        </is>
      </c>
      <c r="F1223" t="inlineStr">
        <is>
          <t>Kyrkan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55289-2019</t>
        </is>
      </c>
      <c r="B1224" s="1" t="n">
        <v>43753</v>
      </c>
      <c r="C1224" s="1" t="n">
        <v>45828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54484-2019</t>
        </is>
      </c>
      <c r="B1225" s="1" t="n">
        <v>43754</v>
      </c>
      <c r="C1225" s="1" t="n">
        <v>45828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54844-2019</t>
        </is>
      </c>
      <c r="B1226" s="1" t="n">
        <v>43755</v>
      </c>
      <c r="C1226" s="1" t="n">
        <v>45828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55287-2019</t>
        </is>
      </c>
      <c r="B1227" s="1" t="n">
        <v>43756</v>
      </c>
      <c r="C1227" s="1" t="n">
        <v>45828</v>
      </c>
      <c r="D1227" t="inlineStr">
        <is>
          <t>JÖNKÖPINGS LÄN</t>
        </is>
      </c>
      <c r="E1227" t="inlineStr">
        <is>
          <t>NÄSSJÖ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55063-2019</t>
        </is>
      </c>
      <c r="B1228" s="1" t="n">
        <v>43756</v>
      </c>
      <c r="C1228" s="1" t="n">
        <v>45828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55222-2019</t>
        </is>
      </c>
      <c r="B1229" s="1" t="n">
        <v>43756</v>
      </c>
      <c r="C1229" s="1" t="n">
        <v>45828</v>
      </c>
      <c r="D1229" t="inlineStr">
        <is>
          <t>JÖNKÖPINGS LÄN</t>
        </is>
      </c>
      <c r="E1229" t="inlineStr">
        <is>
          <t>EKSJÖ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56367-2019</t>
        </is>
      </c>
      <c r="B1230" s="1" t="n">
        <v>43756</v>
      </c>
      <c r="C1230" s="1" t="n">
        <v>45828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55849-2019</t>
        </is>
      </c>
      <c r="B1231" s="1" t="n">
        <v>43759</v>
      </c>
      <c r="C1231" s="1" t="n">
        <v>45828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55991-2019</t>
        </is>
      </c>
      <c r="B1232" s="1" t="n">
        <v>43759</v>
      </c>
      <c r="C1232" s="1" t="n">
        <v>45828</v>
      </c>
      <c r="D1232" t="inlineStr">
        <is>
          <t>JÖNKÖPINGS LÄN</t>
        </is>
      </c>
      <c r="E1232" t="inlineStr">
        <is>
          <t>JÖNKÖPING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56032-2019</t>
        </is>
      </c>
      <c r="B1233" s="1" t="n">
        <v>43759</v>
      </c>
      <c r="C1233" s="1" t="n">
        <v>45828</v>
      </c>
      <c r="D1233" t="inlineStr">
        <is>
          <t>JÖNKÖPINGS LÄN</t>
        </is>
      </c>
      <c r="E1233" t="inlineStr">
        <is>
          <t>JÖNKÖPING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55989-2019</t>
        </is>
      </c>
      <c r="B1234" s="1" t="n">
        <v>43759</v>
      </c>
      <c r="C1234" s="1" t="n">
        <v>45828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55859-2019</t>
        </is>
      </c>
      <c r="B1235" s="1" t="n">
        <v>43759</v>
      </c>
      <c r="C1235" s="1" t="n">
        <v>45828</v>
      </c>
      <c r="D1235" t="inlineStr">
        <is>
          <t>JÖNKÖPINGS LÄN</t>
        </is>
      </c>
      <c r="E1235" t="inlineStr">
        <is>
          <t>SÄVSJÖ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55535-2019</t>
        </is>
      </c>
      <c r="B1236" s="1" t="n">
        <v>43760</v>
      </c>
      <c r="C1236" s="1" t="n">
        <v>45828</v>
      </c>
      <c r="D1236" t="inlineStr">
        <is>
          <t>JÖNKÖPINGS LÄN</t>
        </is>
      </c>
      <c r="E1236" t="inlineStr">
        <is>
          <t>TRANÅS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55665-2019</t>
        </is>
      </c>
      <c r="B1237" s="1" t="n">
        <v>43760</v>
      </c>
      <c r="C1237" s="1" t="n">
        <v>45828</v>
      </c>
      <c r="D1237" t="inlineStr">
        <is>
          <t>JÖNKÖPINGS LÄN</t>
        </is>
      </c>
      <c r="E1237" t="inlineStr">
        <is>
          <t>NÄSSJÖ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56108-2019</t>
        </is>
      </c>
      <c r="B1238" s="1" t="n">
        <v>43760</v>
      </c>
      <c r="C1238" s="1" t="n">
        <v>45828</v>
      </c>
      <c r="D1238" t="inlineStr">
        <is>
          <t>JÖNKÖPINGS LÄN</t>
        </is>
      </c>
      <c r="E1238" t="inlineStr">
        <is>
          <t>GISLAVED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56017-2019</t>
        </is>
      </c>
      <c r="B1239" s="1" t="n">
        <v>43761</v>
      </c>
      <c r="C1239" s="1" t="n">
        <v>45828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56026-2019</t>
        </is>
      </c>
      <c r="B1240" s="1" t="n">
        <v>43761</v>
      </c>
      <c r="C1240" s="1" t="n">
        <v>45828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56295-2019</t>
        </is>
      </c>
      <c r="B1241" s="1" t="n">
        <v>43762</v>
      </c>
      <c r="C1241" s="1" t="n">
        <v>45828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56549-2019</t>
        </is>
      </c>
      <c r="B1242" s="1" t="n">
        <v>43763</v>
      </c>
      <c r="C1242" s="1" t="n">
        <v>45828</v>
      </c>
      <c r="D1242" t="inlineStr">
        <is>
          <t>JÖNKÖPINGS LÄN</t>
        </is>
      </c>
      <c r="E1242" t="inlineStr">
        <is>
          <t>VAGGERYD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56540-2019</t>
        </is>
      </c>
      <c r="B1243" s="1" t="n">
        <v>43763</v>
      </c>
      <c r="C1243" s="1" t="n">
        <v>45828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56568-2019</t>
        </is>
      </c>
      <c r="B1244" s="1" t="n">
        <v>43763</v>
      </c>
      <c r="C1244" s="1" t="n">
        <v>45828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56599-2019</t>
        </is>
      </c>
      <c r="B1245" s="1" t="n">
        <v>43763</v>
      </c>
      <c r="C1245" s="1" t="n">
        <v>45828</v>
      </c>
      <c r="D1245" t="inlineStr">
        <is>
          <t>JÖNKÖPINGS LÄN</t>
        </is>
      </c>
      <c r="E1245" t="inlineStr">
        <is>
          <t>TRANÅS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56917-2019</t>
        </is>
      </c>
      <c r="B1246" s="1" t="n">
        <v>43763</v>
      </c>
      <c r="C1246" s="1" t="n">
        <v>45828</v>
      </c>
      <c r="D1246" t="inlineStr">
        <is>
          <t>JÖNKÖPINGS LÄN</t>
        </is>
      </c>
      <c r="E1246" t="inlineStr">
        <is>
          <t>TRANÅS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56989-2019</t>
        </is>
      </c>
      <c r="B1247" s="1" t="n">
        <v>43766</v>
      </c>
      <c r="C1247" s="1" t="n">
        <v>45828</v>
      </c>
      <c r="D1247" t="inlineStr">
        <is>
          <t>JÖNKÖPINGS LÄN</t>
        </is>
      </c>
      <c r="E1247" t="inlineStr">
        <is>
          <t>ANEBY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56975-2019</t>
        </is>
      </c>
      <c r="B1248" s="1" t="n">
        <v>43766</v>
      </c>
      <c r="C1248" s="1" t="n">
        <v>45828</v>
      </c>
      <c r="D1248" t="inlineStr">
        <is>
          <t>JÖNKÖPINGS LÄN</t>
        </is>
      </c>
      <c r="E1248" t="inlineStr">
        <is>
          <t>VÄRNAMO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57111-2019</t>
        </is>
      </c>
      <c r="B1249" s="1" t="n">
        <v>43766</v>
      </c>
      <c r="C1249" s="1" t="n">
        <v>45828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57132-2019</t>
        </is>
      </c>
      <c r="B1250" s="1" t="n">
        <v>43766</v>
      </c>
      <c r="C1250" s="1" t="n">
        <v>45828</v>
      </c>
      <c r="D1250" t="inlineStr">
        <is>
          <t>JÖNKÖPINGS LÄN</t>
        </is>
      </c>
      <c r="E1250" t="inlineStr">
        <is>
          <t>SÄVSJÖ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57162-2019</t>
        </is>
      </c>
      <c r="B1251" s="1" t="n">
        <v>43766</v>
      </c>
      <c r="C1251" s="1" t="n">
        <v>45828</v>
      </c>
      <c r="D1251" t="inlineStr">
        <is>
          <t>JÖNKÖPINGS LÄN</t>
        </is>
      </c>
      <c r="E1251" t="inlineStr">
        <is>
          <t>TRANÅS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57238-2019</t>
        </is>
      </c>
      <c r="B1252" s="1" t="n">
        <v>43767</v>
      </c>
      <c r="C1252" s="1" t="n">
        <v>45828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57217-2019</t>
        </is>
      </c>
      <c r="B1253" s="1" t="n">
        <v>43767</v>
      </c>
      <c r="C1253" s="1" t="n">
        <v>45828</v>
      </c>
      <c r="D1253" t="inlineStr">
        <is>
          <t>JÖNKÖPINGS LÄN</t>
        </is>
      </c>
      <c r="E1253" t="inlineStr">
        <is>
          <t>SÄVSJÖ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57393-2019</t>
        </is>
      </c>
      <c r="B1254" s="1" t="n">
        <v>43767</v>
      </c>
      <c r="C1254" s="1" t="n">
        <v>45828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Kommuner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57474-2019</t>
        </is>
      </c>
      <c r="B1255" s="1" t="n">
        <v>43767</v>
      </c>
      <c r="C1255" s="1" t="n">
        <v>45828</v>
      </c>
      <c r="D1255" t="inlineStr">
        <is>
          <t>JÖNKÖPINGS LÄN</t>
        </is>
      </c>
      <c r="E1255" t="inlineStr">
        <is>
          <t>NÄSSJÖ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57476-2019</t>
        </is>
      </c>
      <c r="B1256" s="1" t="n">
        <v>43767</v>
      </c>
      <c r="C1256" s="1" t="n">
        <v>45828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57492-2019</t>
        </is>
      </c>
      <c r="B1257" s="1" t="n">
        <v>43767</v>
      </c>
      <c r="C1257" s="1" t="n">
        <v>45828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57207-2019</t>
        </is>
      </c>
      <c r="B1258" s="1" t="n">
        <v>43767</v>
      </c>
      <c r="C1258" s="1" t="n">
        <v>45828</v>
      </c>
      <c r="D1258" t="inlineStr">
        <is>
          <t>JÖNKÖPINGS LÄN</t>
        </is>
      </c>
      <c r="E1258" t="inlineStr">
        <is>
          <t>TRANÅS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57837-2019</t>
        </is>
      </c>
      <c r="B1259" s="1" t="n">
        <v>43768</v>
      </c>
      <c r="C1259" s="1" t="n">
        <v>45828</v>
      </c>
      <c r="D1259" t="inlineStr">
        <is>
          <t>JÖNKÖPINGS LÄN</t>
        </is>
      </c>
      <c r="E1259" t="inlineStr">
        <is>
          <t>NÄSSJÖ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57712-2019</t>
        </is>
      </c>
      <c r="B1260" s="1" t="n">
        <v>43768</v>
      </c>
      <c r="C1260" s="1" t="n">
        <v>45828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57822-2019</t>
        </is>
      </c>
      <c r="B1261" s="1" t="n">
        <v>43768</v>
      </c>
      <c r="C1261" s="1" t="n">
        <v>45828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58040-2019</t>
        </is>
      </c>
      <c r="B1262" s="1" t="n">
        <v>43769</v>
      </c>
      <c r="C1262" s="1" t="n">
        <v>45828</v>
      </c>
      <c r="D1262" t="inlineStr">
        <is>
          <t>JÖNKÖPINGS LÄN</t>
        </is>
      </c>
      <c r="E1262" t="inlineStr">
        <is>
          <t>VÄRNAMO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58092-2019</t>
        </is>
      </c>
      <c r="B1263" s="1" t="n">
        <v>43769</v>
      </c>
      <c r="C1263" s="1" t="n">
        <v>45828</v>
      </c>
      <c r="D1263" t="inlineStr">
        <is>
          <t>JÖNKÖPINGS LÄN</t>
        </is>
      </c>
      <c r="E1263" t="inlineStr">
        <is>
          <t>VÄRNAMO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58432-2019</t>
        </is>
      </c>
      <c r="B1264" s="1" t="n">
        <v>43769</v>
      </c>
      <c r="C1264" s="1" t="n">
        <v>45828</v>
      </c>
      <c r="D1264" t="inlineStr">
        <is>
          <t>JÖNKÖPINGS LÄN</t>
        </is>
      </c>
      <c r="E1264" t="inlineStr">
        <is>
          <t>TRANÅS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58958-2019</t>
        </is>
      </c>
      <c r="B1265" s="1" t="n">
        <v>43769</v>
      </c>
      <c r="C1265" s="1" t="n">
        <v>45828</v>
      </c>
      <c r="D1265" t="inlineStr">
        <is>
          <t>JÖNKÖPINGS LÄN</t>
        </is>
      </c>
      <c r="E1265" t="inlineStr">
        <is>
          <t>ANEBY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58441-2019</t>
        </is>
      </c>
      <c r="B1266" s="1" t="n">
        <v>43769</v>
      </c>
      <c r="C1266" s="1" t="n">
        <v>45828</v>
      </c>
      <c r="D1266" t="inlineStr">
        <is>
          <t>JÖNKÖPINGS LÄN</t>
        </is>
      </c>
      <c r="E1266" t="inlineStr">
        <is>
          <t>TRANÅS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58459-2019</t>
        </is>
      </c>
      <c r="B1267" s="1" t="n">
        <v>43769</v>
      </c>
      <c r="C1267" s="1" t="n">
        <v>45828</v>
      </c>
      <c r="D1267" t="inlineStr">
        <is>
          <t>JÖNKÖPINGS LÄN</t>
        </is>
      </c>
      <c r="E1267" t="inlineStr">
        <is>
          <t>TRANÅS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58153-2019</t>
        </is>
      </c>
      <c r="B1268" s="1" t="n">
        <v>43769</v>
      </c>
      <c r="C1268" s="1" t="n">
        <v>45828</v>
      </c>
      <c r="D1268" t="inlineStr">
        <is>
          <t>JÖNKÖPINGS LÄN</t>
        </is>
      </c>
      <c r="E1268" t="inlineStr">
        <is>
          <t>NÄSSJÖ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58434-2019</t>
        </is>
      </c>
      <c r="B1269" s="1" t="n">
        <v>43769</v>
      </c>
      <c r="C1269" s="1" t="n">
        <v>45828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58492-2019</t>
        </is>
      </c>
      <c r="B1270" s="1" t="n">
        <v>43769</v>
      </c>
      <c r="C1270" s="1" t="n">
        <v>45828</v>
      </c>
      <c r="D1270" t="inlineStr">
        <is>
          <t>JÖNKÖPINGS LÄN</t>
        </is>
      </c>
      <c r="E1270" t="inlineStr">
        <is>
          <t>TRANÅS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58452-2019</t>
        </is>
      </c>
      <c r="B1271" s="1" t="n">
        <v>43769</v>
      </c>
      <c r="C1271" s="1" t="n">
        <v>45828</v>
      </c>
      <c r="D1271" t="inlineStr">
        <is>
          <t>JÖNKÖPINGS LÄN</t>
        </is>
      </c>
      <c r="E1271" t="inlineStr">
        <is>
          <t>TRANÅS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58279-2019</t>
        </is>
      </c>
      <c r="B1272" s="1" t="n">
        <v>43770</v>
      </c>
      <c r="C1272" s="1" t="n">
        <v>45828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58188-2019</t>
        </is>
      </c>
      <c r="B1273" s="1" t="n">
        <v>43770</v>
      </c>
      <c r="C1273" s="1" t="n">
        <v>45828</v>
      </c>
      <c r="D1273" t="inlineStr">
        <is>
          <t>JÖNKÖPINGS LÄN</t>
        </is>
      </c>
      <c r="E1273" t="inlineStr">
        <is>
          <t>GNOSJÖ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58209-2019</t>
        </is>
      </c>
      <c r="B1274" s="1" t="n">
        <v>43770</v>
      </c>
      <c r="C1274" s="1" t="n">
        <v>45828</v>
      </c>
      <c r="D1274" t="inlineStr">
        <is>
          <t>JÖNKÖPINGS LÄN</t>
        </is>
      </c>
      <c r="E1274" t="inlineStr">
        <is>
          <t>GNOSJÖ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58344-2019</t>
        </is>
      </c>
      <c r="B1275" s="1" t="n">
        <v>43770</v>
      </c>
      <c r="C1275" s="1" t="n">
        <v>45828</v>
      </c>
      <c r="D1275" t="inlineStr">
        <is>
          <t>JÖNKÖPINGS LÄN</t>
        </is>
      </c>
      <c r="E1275" t="inlineStr">
        <is>
          <t>NÄSSJÖ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58377-2019</t>
        </is>
      </c>
      <c r="B1276" s="1" t="n">
        <v>43771</v>
      </c>
      <c r="C1276" s="1" t="n">
        <v>45828</v>
      </c>
      <c r="D1276" t="inlineStr">
        <is>
          <t>JÖNKÖPINGS LÄN</t>
        </is>
      </c>
      <c r="E1276" t="inlineStr">
        <is>
          <t>GISLAVED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58374-2019</t>
        </is>
      </c>
      <c r="B1277" s="1" t="n">
        <v>43771</v>
      </c>
      <c r="C1277" s="1" t="n">
        <v>45828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58404-2019</t>
        </is>
      </c>
      <c r="B1278" s="1" t="n">
        <v>43772</v>
      </c>
      <c r="C1278" s="1" t="n">
        <v>45828</v>
      </c>
      <c r="D1278" t="inlineStr">
        <is>
          <t>JÖNKÖPINGS LÄN</t>
        </is>
      </c>
      <c r="E1278" t="inlineStr">
        <is>
          <t>VAGGERYD</t>
        </is>
      </c>
      <c r="F1278" t="inlineStr">
        <is>
          <t>Övriga statliga verk och myndigheter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58411-2019</t>
        </is>
      </c>
      <c r="B1279" s="1" t="n">
        <v>43772</v>
      </c>
      <c r="C1279" s="1" t="n">
        <v>45828</v>
      </c>
      <c r="D1279" t="inlineStr">
        <is>
          <t>JÖNKÖPINGS LÄN</t>
        </is>
      </c>
      <c r="E1279" t="inlineStr">
        <is>
          <t>JÖNKÖPING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58406-2019</t>
        </is>
      </c>
      <c r="B1280" s="1" t="n">
        <v>43772</v>
      </c>
      <c r="C1280" s="1" t="n">
        <v>45828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58447-2019</t>
        </is>
      </c>
      <c r="B1281" s="1" t="n">
        <v>43773</v>
      </c>
      <c r="C1281" s="1" t="n">
        <v>45828</v>
      </c>
      <c r="D1281" t="inlineStr">
        <is>
          <t>JÖNKÖPINGS LÄN</t>
        </is>
      </c>
      <c r="E1281" t="inlineStr">
        <is>
          <t>HABO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58559-2019</t>
        </is>
      </c>
      <c r="B1282" s="1" t="n">
        <v>43773</v>
      </c>
      <c r="C1282" s="1" t="n">
        <v>45828</v>
      </c>
      <c r="D1282" t="inlineStr">
        <is>
          <t>JÖNKÖPINGS LÄN</t>
        </is>
      </c>
      <c r="E1282" t="inlineStr">
        <is>
          <t>GNOSJÖ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58664-2019</t>
        </is>
      </c>
      <c r="B1283" s="1" t="n">
        <v>43773</v>
      </c>
      <c r="C1283" s="1" t="n">
        <v>45828</v>
      </c>
      <c r="D1283" t="inlineStr">
        <is>
          <t>JÖNKÖPINGS LÄN</t>
        </is>
      </c>
      <c r="E1283" t="inlineStr">
        <is>
          <t>NÄSSJÖ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58746-2019</t>
        </is>
      </c>
      <c r="B1284" s="1" t="n">
        <v>43773</v>
      </c>
      <c r="C1284" s="1" t="n">
        <v>45828</v>
      </c>
      <c r="D1284" t="inlineStr">
        <is>
          <t>JÖNKÖPINGS LÄN</t>
        </is>
      </c>
      <c r="E1284" t="inlineStr">
        <is>
          <t>HABO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58751-2019</t>
        </is>
      </c>
      <c r="B1285" s="1" t="n">
        <v>43773</v>
      </c>
      <c r="C1285" s="1" t="n">
        <v>45828</v>
      </c>
      <c r="D1285" t="inlineStr">
        <is>
          <t>JÖNKÖPINGS LÄN</t>
        </is>
      </c>
      <c r="E1285" t="inlineStr">
        <is>
          <t>VÄRNAMO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58845-2019</t>
        </is>
      </c>
      <c r="B1286" s="1" t="n">
        <v>43774</v>
      </c>
      <c r="C1286" s="1" t="n">
        <v>45828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58990-2019</t>
        </is>
      </c>
      <c r="B1287" s="1" t="n">
        <v>43774</v>
      </c>
      <c r="C1287" s="1" t="n">
        <v>45828</v>
      </c>
      <c r="D1287" t="inlineStr">
        <is>
          <t>JÖNKÖPINGS LÄN</t>
        </is>
      </c>
      <c r="E1287" t="inlineStr">
        <is>
          <t>JÖNKÖPING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59352-2019</t>
        </is>
      </c>
      <c r="B1288" s="1" t="n">
        <v>43775</v>
      </c>
      <c r="C1288" s="1" t="n">
        <v>45828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59392-2019</t>
        </is>
      </c>
      <c r="B1289" s="1" t="n">
        <v>43775</v>
      </c>
      <c r="C1289" s="1" t="n">
        <v>45828</v>
      </c>
      <c r="D1289" t="inlineStr">
        <is>
          <t>JÖNKÖPINGS LÄN</t>
        </is>
      </c>
      <c r="E1289" t="inlineStr">
        <is>
          <t>JÖNKÖPING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59337-2019</t>
        </is>
      </c>
      <c r="B1290" s="1" t="n">
        <v>43775</v>
      </c>
      <c r="C1290" s="1" t="n">
        <v>45828</v>
      </c>
      <c r="D1290" t="inlineStr">
        <is>
          <t>JÖNKÖPINGS LÄN</t>
        </is>
      </c>
      <c r="E1290" t="inlineStr">
        <is>
          <t>EKSJÖ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59955-2019</t>
        </is>
      </c>
      <c r="B1291" s="1" t="n">
        <v>43775</v>
      </c>
      <c r="C1291" s="1" t="n">
        <v>45828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59764-2019</t>
        </is>
      </c>
      <c r="B1292" s="1" t="n">
        <v>43776</v>
      </c>
      <c r="C1292" s="1" t="n">
        <v>45828</v>
      </c>
      <c r="D1292" t="inlineStr">
        <is>
          <t>JÖNKÖPINGS LÄN</t>
        </is>
      </c>
      <c r="E1292" t="inlineStr">
        <is>
          <t>HABO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59434-2019</t>
        </is>
      </c>
      <c r="B1293" s="1" t="n">
        <v>43776</v>
      </c>
      <c r="C1293" s="1" t="n">
        <v>45828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59741-2019</t>
        </is>
      </c>
      <c r="B1294" s="1" t="n">
        <v>43776</v>
      </c>
      <c r="C1294" s="1" t="n">
        <v>45828</v>
      </c>
      <c r="D1294" t="inlineStr">
        <is>
          <t>JÖNKÖPINGS LÄN</t>
        </is>
      </c>
      <c r="E1294" t="inlineStr">
        <is>
          <t>SÄVSJÖ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59553-2019</t>
        </is>
      </c>
      <c r="B1295" s="1" t="n">
        <v>43776</v>
      </c>
      <c r="C1295" s="1" t="n">
        <v>45828</v>
      </c>
      <c r="D1295" t="inlineStr">
        <is>
          <t>JÖNKÖPINGS LÄN</t>
        </is>
      </c>
      <c r="E1295" t="inlineStr">
        <is>
          <t>JÖNKÖPING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60211-2019</t>
        </is>
      </c>
      <c r="B1296" s="1" t="n">
        <v>43776</v>
      </c>
      <c r="C1296" s="1" t="n">
        <v>45828</v>
      </c>
      <c r="D1296" t="inlineStr">
        <is>
          <t>JÖNKÖPINGS LÄN</t>
        </is>
      </c>
      <c r="E1296" t="inlineStr">
        <is>
          <t>NÄSSJÖ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59704-2019</t>
        </is>
      </c>
      <c r="B1297" s="1" t="n">
        <v>43776</v>
      </c>
      <c r="C1297" s="1" t="n">
        <v>45828</v>
      </c>
      <c r="D1297" t="inlineStr">
        <is>
          <t>JÖNKÖPINGS LÄN</t>
        </is>
      </c>
      <c r="E1297" t="inlineStr">
        <is>
          <t>JÖNKÖPING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59768-2019</t>
        </is>
      </c>
      <c r="B1298" s="1" t="n">
        <v>43776</v>
      </c>
      <c r="C1298" s="1" t="n">
        <v>45828</v>
      </c>
      <c r="D1298" t="inlineStr">
        <is>
          <t>JÖNKÖPINGS LÄN</t>
        </is>
      </c>
      <c r="E1298" t="inlineStr">
        <is>
          <t>HABO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59944-2019</t>
        </is>
      </c>
      <c r="B1299" s="1" t="n">
        <v>43777</v>
      </c>
      <c r="C1299" s="1" t="n">
        <v>45828</v>
      </c>
      <c r="D1299" t="inlineStr">
        <is>
          <t>JÖNKÖPINGS LÄN</t>
        </is>
      </c>
      <c r="E1299" t="inlineStr">
        <is>
          <t>VETLANDA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59960-2019</t>
        </is>
      </c>
      <c r="B1300" s="1" t="n">
        <v>43777</v>
      </c>
      <c r="C1300" s="1" t="n">
        <v>45828</v>
      </c>
      <c r="D1300" t="inlineStr">
        <is>
          <t>JÖNKÖPINGS LÄN</t>
        </is>
      </c>
      <c r="E1300" t="inlineStr">
        <is>
          <t>VETLANDA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59982-2019</t>
        </is>
      </c>
      <c r="B1301" s="1" t="n">
        <v>43777</v>
      </c>
      <c r="C1301" s="1" t="n">
        <v>45828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59949-2019</t>
        </is>
      </c>
      <c r="B1302" s="1" t="n">
        <v>43777</v>
      </c>
      <c r="C1302" s="1" t="n">
        <v>45828</v>
      </c>
      <c r="D1302" t="inlineStr">
        <is>
          <t>JÖNKÖPINGS LÄN</t>
        </is>
      </c>
      <c r="E1302" t="inlineStr">
        <is>
          <t>VETLANDA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60185-2019</t>
        </is>
      </c>
      <c r="B1303" s="1" t="n">
        <v>43780</v>
      </c>
      <c r="C1303" s="1" t="n">
        <v>45828</v>
      </c>
      <c r="D1303" t="inlineStr">
        <is>
          <t>JÖNKÖPINGS LÄN</t>
        </is>
      </c>
      <c r="E1303" t="inlineStr">
        <is>
          <t>SÄVSJÖ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60327-2019</t>
        </is>
      </c>
      <c r="B1304" s="1" t="n">
        <v>43780</v>
      </c>
      <c r="C1304" s="1" t="n">
        <v>45828</v>
      </c>
      <c r="D1304" t="inlineStr">
        <is>
          <t>JÖNKÖPINGS LÄN</t>
        </is>
      </c>
      <c r="E1304" t="inlineStr">
        <is>
          <t>GNOSJÖ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60805-2019</t>
        </is>
      </c>
      <c r="B1305" s="1" t="n">
        <v>43780</v>
      </c>
      <c r="C1305" s="1" t="n">
        <v>45828</v>
      </c>
      <c r="D1305" t="inlineStr">
        <is>
          <t>JÖNKÖPINGS LÄN</t>
        </is>
      </c>
      <c r="E1305" t="inlineStr">
        <is>
          <t>EKSJÖ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60520-2019</t>
        </is>
      </c>
      <c r="B1306" s="1" t="n">
        <v>43781</v>
      </c>
      <c r="C1306" s="1" t="n">
        <v>45828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60518-2019</t>
        </is>
      </c>
      <c r="B1307" s="1" t="n">
        <v>43781</v>
      </c>
      <c r="C1307" s="1" t="n">
        <v>45828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61973-2019</t>
        </is>
      </c>
      <c r="B1308" s="1" t="n">
        <v>43781</v>
      </c>
      <c r="C1308" s="1" t="n">
        <v>45828</v>
      </c>
      <c r="D1308" t="inlineStr">
        <is>
          <t>JÖNKÖPINGS LÄN</t>
        </is>
      </c>
      <c r="E1308" t="inlineStr">
        <is>
          <t>VETLANDA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61094-2019</t>
        </is>
      </c>
      <c r="B1309" s="1" t="n">
        <v>43782</v>
      </c>
      <c r="C1309" s="1" t="n">
        <v>45828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61156-2019</t>
        </is>
      </c>
      <c r="B1310" s="1" t="n">
        <v>43782</v>
      </c>
      <c r="C1310" s="1" t="n">
        <v>45828</v>
      </c>
      <c r="D1310" t="inlineStr">
        <is>
          <t>JÖNKÖPINGS LÄN</t>
        </is>
      </c>
      <c r="E1310" t="inlineStr">
        <is>
          <t>GISLAVED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61340-2019</t>
        </is>
      </c>
      <c r="B1311" s="1" t="n">
        <v>43783</v>
      </c>
      <c r="C1311" s="1" t="n">
        <v>45828</v>
      </c>
      <c r="D1311" t="inlineStr">
        <is>
          <t>JÖNKÖPINGS LÄN</t>
        </is>
      </c>
      <c r="E1311" t="inlineStr">
        <is>
          <t>VÄRNAMO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61405-2019</t>
        </is>
      </c>
      <c r="B1312" s="1" t="n">
        <v>43783</v>
      </c>
      <c r="C1312" s="1" t="n">
        <v>45828</v>
      </c>
      <c r="D1312" t="inlineStr">
        <is>
          <t>JÖNKÖPINGS LÄN</t>
        </is>
      </c>
      <c r="E1312" t="inlineStr">
        <is>
          <t>VÄRNAMO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61276-2019</t>
        </is>
      </c>
      <c r="B1313" s="1" t="n">
        <v>43783</v>
      </c>
      <c r="C1313" s="1" t="n">
        <v>45828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61409-2019</t>
        </is>
      </c>
      <c r="B1314" s="1" t="n">
        <v>43783</v>
      </c>
      <c r="C1314" s="1" t="n">
        <v>45828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61420-2019</t>
        </is>
      </c>
      <c r="B1315" s="1" t="n">
        <v>43783</v>
      </c>
      <c r="C1315" s="1" t="n">
        <v>45828</v>
      </c>
      <c r="D1315" t="inlineStr">
        <is>
          <t>JÖNKÖPINGS LÄN</t>
        </is>
      </c>
      <c r="E1315" t="inlineStr">
        <is>
          <t>HABO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62531-2019</t>
        </is>
      </c>
      <c r="B1316" s="1" t="n">
        <v>43783</v>
      </c>
      <c r="C1316" s="1" t="n">
        <v>45828</v>
      </c>
      <c r="D1316" t="inlineStr">
        <is>
          <t>JÖNKÖPINGS LÄN</t>
        </is>
      </c>
      <c r="E1316" t="inlineStr">
        <is>
          <t>VAGGERYD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61635-2019</t>
        </is>
      </c>
      <c r="B1317" s="1" t="n">
        <v>43784</v>
      </c>
      <c r="C1317" s="1" t="n">
        <v>45828</v>
      </c>
      <c r="D1317" t="inlineStr">
        <is>
          <t>JÖNKÖPINGS LÄN</t>
        </is>
      </c>
      <c r="E1317" t="inlineStr">
        <is>
          <t>ANEBY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61651-2019</t>
        </is>
      </c>
      <c r="B1318" s="1" t="n">
        <v>43784</v>
      </c>
      <c r="C1318" s="1" t="n">
        <v>45828</v>
      </c>
      <c r="D1318" t="inlineStr">
        <is>
          <t>JÖNKÖPINGS LÄN</t>
        </is>
      </c>
      <c r="E1318" t="inlineStr">
        <is>
          <t>VÄRNAMO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61634-2019</t>
        </is>
      </c>
      <c r="B1319" s="1" t="n">
        <v>43784</v>
      </c>
      <c r="C1319" s="1" t="n">
        <v>45828</v>
      </c>
      <c r="D1319" t="inlineStr">
        <is>
          <t>JÖNKÖPINGS LÄN</t>
        </is>
      </c>
      <c r="E1319" t="inlineStr">
        <is>
          <t>VETLANDA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61633-2019</t>
        </is>
      </c>
      <c r="B1320" s="1" t="n">
        <v>43784</v>
      </c>
      <c r="C1320" s="1" t="n">
        <v>45828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62126-2019</t>
        </is>
      </c>
      <c r="B1321" s="1" t="n">
        <v>43787</v>
      </c>
      <c r="C1321" s="1" t="n">
        <v>45828</v>
      </c>
      <c r="D1321" t="inlineStr">
        <is>
          <t>JÖNKÖPINGS LÄN</t>
        </is>
      </c>
      <c r="E1321" t="inlineStr">
        <is>
          <t>NÄSSJÖ</t>
        </is>
      </c>
      <c r="F1321" t="inlineStr">
        <is>
          <t>Kyrkan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61859-2019</t>
        </is>
      </c>
      <c r="B1322" s="1" t="n">
        <v>43787</v>
      </c>
      <c r="C1322" s="1" t="n">
        <v>45828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62134-2019</t>
        </is>
      </c>
      <c r="B1323" s="1" t="n">
        <v>43787</v>
      </c>
      <c r="C1323" s="1" t="n">
        <v>45828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62274-2019</t>
        </is>
      </c>
      <c r="B1324" s="1" t="n">
        <v>43788</v>
      </c>
      <c r="C1324" s="1" t="n">
        <v>45828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62402-2019</t>
        </is>
      </c>
      <c r="B1325" s="1" t="n">
        <v>43788</v>
      </c>
      <c r="C1325" s="1" t="n">
        <v>45828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62393-2019</t>
        </is>
      </c>
      <c r="B1326" s="1" t="n">
        <v>43788</v>
      </c>
      <c r="C1326" s="1" t="n">
        <v>45828</v>
      </c>
      <c r="D1326" t="inlineStr">
        <is>
          <t>JÖNKÖPINGS LÄN</t>
        </is>
      </c>
      <c r="E1326" t="inlineStr">
        <is>
          <t>ANEBY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62647-2019</t>
        </is>
      </c>
      <c r="B1327" s="1" t="n">
        <v>43789</v>
      </c>
      <c r="C1327" s="1" t="n">
        <v>45828</v>
      </c>
      <c r="D1327" t="inlineStr">
        <is>
          <t>JÖNKÖPINGS LÄN</t>
        </is>
      </c>
      <c r="E1327" t="inlineStr">
        <is>
          <t>HABO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62628-2019</t>
        </is>
      </c>
      <c r="B1328" s="1" t="n">
        <v>43789</v>
      </c>
      <c r="C1328" s="1" t="n">
        <v>45828</v>
      </c>
      <c r="D1328" t="inlineStr">
        <is>
          <t>JÖNKÖPINGS LÄN</t>
        </is>
      </c>
      <c r="E1328" t="inlineStr">
        <is>
          <t>VETLANDA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62659-2019</t>
        </is>
      </c>
      <c r="B1329" s="1" t="n">
        <v>43789</v>
      </c>
      <c r="C1329" s="1" t="n">
        <v>45828</v>
      </c>
      <c r="D1329" t="inlineStr">
        <is>
          <t>JÖNKÖPINGS LÄN</t>
        </is>
      </c>
      <c r="E1329" t="inlineStr">
        <is>
          <t>EKSJÖ</t>
        </is>
      </c>
      <c r="F1329" t="inlineStr">
        <is>
          <t>Kyrkan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62880-2019</t>
        </is>
      </c>
      <c r="B1330" s="1" t="n">
        <v>43790</v>
      </c>
      <c r="C1330" s="1" t="n">
        <v>45828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63958-2019</t>
        </is>
      </c>
      <c r="B1331" s="1" t="n">
        <v>43790</v>
      </c>
      <c r="C1331" s="1" t="n">
        <v>45828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63200-2019</t>
        </is>
      </c>
      <c r="B1332" s="1" t="n">
        <v>43791</v>
      </c>
      <c r="C1332" s="1" t="n">
        <v>45828</v>
      </c>
      <c r="D1332" t="inlineStr">
        <is>
          <t>JÖNKÖPINGS LÄN</t>
        </is>
      </c>
      <c r="E1332" t="inlineStr">
        <is>
          <t>GNOSJÖ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64323-2019</t>
        </is>
      </c>
      <c r="B1333" s="1" t="n">
        <v>43791</v>
      </c>
      <c r="C1333" s="1" t="n">
        <v>45828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64318-2019</t>
        </is>
      </c>
      <c r="B1334" s="1" t="n">
        <v>43791</v>
      </c>
      <c r="C1334" s="1" t="n">
        <v>45828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63098-2019</t>
        </is>
      </c>
      <c r="B1335" s="1" t="n">
        <v>43791</v>
      </c>
      <c r="C1335" s="1" t="n">
        <v>45828</v>
      </c>
      <c r="D1335" t="inlineStr">
        <is>
          <t>JÖNKÖPINGS LÄN</t>
        </is>
      </c>
      <c r="E1335" t="inlineStr">
        <is>
          <t>GISLAVED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64286-2019</t>
        </is>
      </c>
      <c r="B1336" s="1" t="n">
        <v>43791</v>
      </c>
      <c r="C1336" s="1" t="n">
        <v>45828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63417-2019</t>
        </is>
      </c>
      <c r="B1337" s="1" t="n">
        <v>43794</v>
      </c>
      <c r="C1337" s="1" t="n">
        <v>45828</v>
      </c>
      <c r="D1337" t="inlineStr">
        <is>
          <t>JÖNKÖPINGS LÄN</t>
        </is>
      </c>
      <c r="E1337" t="inlineStr">
        <is>
          <t>VETLANDA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63357-2019</t>
        </is>
      </c>
      <c r="B1338" s="1" t="n">
        <v>43794</v>
      </c>
      <c r="C1338" s="1" t="n">
        <v>45828</v>
      </c>
      <c r="D1338" t="inlineStr">
        <is>
          <t>JÖNKÖPINGS LÄN</t>
        </is>
      </c>
      <c r="E1338" t="inlineStr">
        <is>
          <t>JÖNKÖPING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63490-2019</t>
        </is>
      </c>
      <c r="B1339" s="1" t="n">
        <v>43794</v>
      </c>
      <c r="C1339" s="1" t="n">
        <v>45828</v>
      </c>
      <c r="D1339" t="inlineStr">
        <is>
          <t>JÖNKÖPINGS LÄN</t>
        </is>
      </c>
      <c r="E1339" t="inlineStr">
        <is>
          <t>JÖNKÖPING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63485-2019</t>
        </is>
      </c>
      <c r="B1340" s="1" t="n">
        <v>43794</v>
      </c>
      <c r="C1340" s="1" t="n">
        <v>45828</v>
      </c>
      <c r="D1340" t="inlineStr">
        <is>
          <t>JÖNKÖPINGS LÄN</t>
        </is>
      </c>
      <c r="E1340" t="inlineStr">
        <is>
          <t>JÖNKÖPING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63749-2019</t>
        </is>
      </c>
      <c r="B1341" s="1" t="n">
        <v>43795</v>
      </c>
      <c r="C1341" s="1" t="n">
        <v>45828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63574-2019</t>
        </is>
      </c>
      <c r="B1342" s="1" t="n">
        <v>43795</v>
      </c>
      <c r="C1342" s="1" t="n">
        <v>45828</v>
      </c>
      <c r="D1342" t="inlineStr">
        <is>
          <t>JÖNKÖPINGS LÄN</t>
        </is>
      </c>
      <c r="E1342" t="inlineStr">
        <is>
          <t>VETLANDA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63644-2019</t>
        </is>
      </c>
      <c r="B1343" s="1" t="n">
        <v>43795</v>
      </c>
      <c r="C1343" s="1" t="n">
        <v>45828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63651-2019</t>
        </is>
      </c>
      <c r="B1344" s="1" t="n">
        <v>43795</v>
      </c>
      <c r="C1344" s="1" t="n">
        <v>45828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63833-2019</t>
        </is>
      </c>
      <c r="B1345" s="1" t="n">
        <v>43795</v>
      </c>
      <c r="C1345" s="1" t="n">
        <v>45828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64925-2019</t>
        </is>
      </c>
      <c r="B1346" s="1" t="n">
        <v>43795</v>
      </c>
      <c r="C1346" s="1" t="n">
        <v>45828</v>
      </c>
      <c r="D1346" t="inlineStr">
        <is>
          <t>JÖNKÖPINGS LÄN</t>
        </is>
      </c>
      <c r="E1346" t="inlineStr">
        <is>
          <t>TRANÅS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64942-2019</t>
        </is>
      </c>
      <c r="B1347" s="1" t="n">
        <v>43795</v>
      </c>
      <c r="C1347" s="1" t="n">
        <v>45828</v>
      </c>
      <c r="D1347" t="inlineStr">
        <is>
          <t>JÖNKÖPINGS LÄN</t>
        </is>
      </c>
      <c r="E1347" t="inlineStr">
        <is>
          <t>TRANÅS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63860-2019</t>
        </is>
      </c>
      <c r="B1348" s="1" t="n">
        <v>43796</v>
      </c>
      <c r="C1348" s="1" t="n">
        <v>45828</v>
      </c>
      <c r="D1348" t="inlineStr">
        <is>
          <t>JÖNKÖPINGS LÄN</t>
        </is>
      </c>
      <c r="E1348" t="inlineStr">
        <is>
          <t>TRANÅS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64043-2019</t>
        </is>
      </c>
      <c r="B1349" s="1" t="n">
        <v>43796</v>
      </c>
      <c r="C1349" s="1" t="n">
        <v>45828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64044-2019</t>
        </is>
      </c>
      <c r="B1350" s="1" t="n">
        <v>43796</v>
      </c>
      <c r="C1350" s="1" t="n">
        <v>45828</v>
      </c>
      <c r="D1350" t="inlineStr">
        <is>
          <t>JÖNKÖPINGS LÄN</t>
        </is>
      </c>
      <c r="E1350" t="inlineStr">
        <is>
          <t>VÄRNAMO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65139-2019</t>
        </is>
      </c>
      <c r="B1351" s="1" t="n">
        <v>43796</v>
      </c>
      <c r="C1351" s="1" t="n">
        <v>45828</v>
      </c>
      <c r="D1351" t="inlineStr">
        <is>
          <t>JÖNKÖPINGS LÄN</t>
        </is>
      </c>
      <c r="E1351" t="inlineStr">
        <is>
          <t>TRANÅS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64299-2019</t>
        </is>
      </c>
      <c r="B1352" s="1" t="n">
        <v>43797</v>
      </c>
      <c r="C1352" s="1" t="n">
        <v>45828</v>
      </c>
      <c r="D1352" t="inlineStr">
        <is>
          <t>JÖNKÖPINGS LÄN</t>
        </is>
      </c>
      <c r="E1352" t="inlineStr">
        <is>
          <t>EKSJÖ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64418-2019</t>
        </is>
      </c>
      <c r="B1353" s="1" t="n">
        <v>43797</v>
      </c>
      <c r="C1353" s="1" t="n">
        <v>45828</v>
      </c>
      <c r="D1353" t="inlineStr">
        <is>
          <t>JÖNKÖPINGS LÄN</t>
        </is>
      </c>
      <c r="E1353" t="inlineStr">
        <is>
          <t>GISLAVED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64312-2019</t>
        </is>
      </c>
      <c r="B1354" s="1" t="n">
        <v>43797</v>
      </c>
      <c r="C1354" s="1" t="n">
        <v>45828</v>
      </c>
      <c r="D1354" t="inlineStr">
        <is>
          <t>JÖNKÖPINGS LÄN</t>
        </is>
      </c>
      <c r="E1354" t="inlineStr">
        <is>
          <t>GISLAVED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64595-2019</t>
        </is>
      </c>
      <c r="B1355" s="1" t="n">
        <v>43798</v>
      </c>
      <c r="C1355" s="1" t="n">
        <v>45828</v>
      </c>
      <c r="D1355" t="inlineStr">
        <is>
          <t>JÖNKÖPINGS LÄN</t>
        </is>
      </c>
      <c r="E1355" t="inlineStr">
        <is>
          <t>NÄSSJÖ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64612-2019</t>
        </is>
      </c>
      <c r="B1356" s="1" t="n">
        <v>43798</v>
      </c>
      <c r="C1356" s="1" t="n">
        <v>45828</v>
      </c>
      <c r="D1356" t="inlineStr">
        <is>
          <t>JÖNKÖPINGS LÄN</t>
        </is>
      </c>
      <c r="E1356" t="inlineStr">
        <is>
          <t>NÄSSJÖ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64672-2019</t>
        </is>
      </c>
      <c r="B1357" s="1" t="n">
        <v>43798</v>
      </c>
      <c r="C1357" s="1" t="n">
        <v>45828</v>
      </c>
      <c r="D1357" t="inlineStr">
        <is>
          <t>JÖNKÖPINGS LÄN</t>
        </is>
      </c>
      <c r="E1357" t="inlineStr">
        <is>
          <t>NÄSSJÖ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64900-2019</t>
        </is>
      </c>
      <c r="B1358" s="1" t="n">
        <v>43801</v>
      </c>
      <c r="C1358" s="1" t="n">
        <v>45828</v>
      </c>
      <c r="D1358" t="inlineStr">
        <is>
          <t>JÖNKÖPINGS LÄN</t>
        </is>
      </c>
      <c r="E1358" t="inlineStr">
        <is>
          <t>JÖNKÖPING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64909-2019</t>
        </is>
      </c>
      <c r="B1359" s="1" t="n">
        <v>43801</v>
      </c>
      <c r="C1359" s="1" t="n">
        <v>45828</v>
      </c>
      <c r="D1359" t="inlineStr">
        <is>
          <t>JÖNKÖPINGS LÄN</t>
        </is>
      </c>
      <c r="E1359" t="inlineStr">
        <is>
          <t>TRANÅS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64818-2019</t>
        </is>
      </c>
      <c r="B1360" s="1" t="n">
        <v>43801</v>
      </c>
      <c r="C1360" s="1" t="n">
        <v>45828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64806-2019</t>
        </is>
      </c>
      <c r="B1361" s="1" t="n">
        <v>43801</v>
      </c>
      <c r="C1361" s="1" t="n">
        <v>45828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64910-2019</t>
        </is>
      </c>
      <c r="B1362" s="1" t="n">
        <v>43801</v>
      </c>
      <c r="C1362" s="1" t="n">
        <v>45828</v>
      </c>
      <c r="D1362" t="inlineStr">
        <is>
          <t>JÖNKÖPINGS LÄN</t>
        </is>
      </c>
      <c r="E1362" t="inlineStr">
        <is>
          <t>TRANÅS</t>
        </is>
      </c>
      <c r="G1362" t="n">
        <v>8.199999999999999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64926-2019</t>
        </is>
      </c>
      <c r="B1363" s="1" t="n">
        <v>43801</v>
      </c>
      <c r="C1363" s="1" t="n">
        <v>45828</v>
      </c>
      <c r="D1363" t="inlineStr">
        <is>
          <t>JÖNKÖPINGS LÄN</t>
        </is>
      </c>
      <c r="E1363" t="inlineStr">
        <is>
          <t>TRANÅS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64911-2019</t>
        </is>
      </c>
      <c r="B1364" s="1" t="n">
        <v>43801</v>
      </c>
      <c r="C1364" s="1" t="n">
        <v>45828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64767-2019</t>
        </is>
      </c>
      <c r="B1365" s="1" t="n">
        <v>43801</v>
      </c>
      <c r="C1365" s="1" t="n">
        <v>45828</v>
      </c>
      <c r="D1365" t="inlineStr">
        <is>
          <t>JÖNKÖPINGS LÄN</t>
        </is>
      </c>
      <c r="E1365" t="inlineStr">
        <is>
          <t>TRANÅS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64751-2019</t>
        </is>
      </c>
      <c r="B1366" s="1" t="n">
        <v>43801</v>
      </c>
      <c r="C1366" s="1" t="n">
        <v>45828</v>
      </c>
      <c r="D1366" t="inlineStr">
        <is>
          <t>JÖNKÖPINGS LÄN</t>
        </is>
      </c>
      <c r="E1366" t="inlineStr">
        <is>
          <t>HABO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64950-2019</t>
        </is>
      </c>
      <c r="B1367" s="1" t="n">
        <v>43801</v>
      </c>
      <c r="C1367" s="1" t="n">
        <v>45828</v>
      </c>
      <c r="D1367" t="inlineStr">
        <is>
          <t>JÖNKÖPINGS LÄN</t>
        </is>
      </c>
      <c r="E1367" t="inlineStr">
        <is>
          <t>VETLANDA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64859-2019</t>
        </is>
      </c>
      <c r="B1368" s="1" t="n">
        <v>43801</v>
      </c>
      <c r="C1368" s="1" t="n">
        <v>45828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65316-2019</t>
        </is>
      </c>
      <c r="B1369" s="1" t="n">
        <v>43802</v>
      </c>
      <c r="C1369" s="1" t="n">
        <v>45828</v>
      </c>
      <c r="D1369" t="inlineStr">
        <is>
          <t>JÖNKÖPINGS LÄN</t>
        </is>
      </c>
      <c r="E1369" t="inlineStr">
        <is>
          <t>VÄRNAMO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65344-2019</t>
        </is>
      </c>
      <c r="B1370" s="1" t="n">
        <v>43803</v>
      </c>
      <c r="C1370" s="1" t="n">
        <v>45828</v>
      </c>
      <c r="D1370" t="inlineStr">
        <is>
          <t>JÖNKÖPINGS LÄN</t>
        </is>
      </c>
      <c r="E1370" t="inlineStr">
        <is>
          <t>SÄVSJÖ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65349-2019</t>
        </is>
      </c>
      <c r="B1371" s="1" t="n">
        <v>43803</v>
      </c>
      <c r="C1371" s="1" t="n">
        <v>45828</v>
      </c>
      <c r="D1371" t="inlineStr">
        <is>
          <t>JÖNKÖPINGS LÄN</t>
        </is>
      </c>
      <c r="E1371" t="inlineStr">
        <is>
          <t>VÄRNAMO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65436-2019</t>
        </is>
      </c>
      <c r="B1372" s="1" t="n">
        <v>43803</v>
      </c>
      <c r="C1372" s="1" t="n">
        <v>45828</v>
      </c>
      <c r="D1372" t="inlineStr">
        <is>
          <t>JÖNKÖPINGS LÄN</t>
        </is>
      </c>
      <c r="E1372" t="inlineStr">
        <is>
          <t>EKSJÖ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65382-2019</t>
        </is>
      </c>
      <c r="B1373" s="1" t="n">
        <v>43803</v>
      </c>
      <c r="C1373" s="1" t="n">
        <v>45828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66600-2019</t>
        </is>
      </c>
      <c r="B1374" s="1" t="n">
        <v>43803</v>
      </c>
      <c r="C1374" s="1" t="n">
        <v>45828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65673-2019</t>
        </is>
      </c>
      <c r="B1375" s="1" t="n">
        <v>43804</v>
      </c>
      <c r="C1375" s="1" t="n">
        <v>45828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65708-2019</t>
        </is>
      </c>
      <c r="B1376" s="1" t="n">
        <v>43804</v>
      </c>
      <c r="C1376" s="1" t="n">
        <v>45828</v>
      </c>
      <c r="D1376" t="inlineStr">
        <is>
          <t>JÖNKÖPINGS LÄN</t>
        </is>
      </c>
      <c r="E1376" t="inlineStr">
        <is>
          <t>GISLAVED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65678-2019</t>
        </is>
      </c>
      <c r="B1377" s="1" t="n">
        <v>43804</v>
      </c>
      <c r="C1377" s="1" t="n">
        <v>45828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66601-2019</t>
        </is>
      </c>
      <c r="B1378" s="1" t="n">
        <v>43804</v>
      </c>
      <c r="C1378" s="1" t="n">
        <v>45828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65859-2019</t>
        </is>
      </c>
      <c r="B1379" s="1" t="n">
        <v>43804</v>
      </c>
      <c r="C1379" s="1" t="n">
        <v>45828</v>
      </c>
      <c r="D1379" t="inlineStr">
        <is>
          <t>JÖNKÖPINGS LÄN</t>
        </is>
      </c>
      <c r="E1379" t="inlineStr">
        <is>
          <t>TRANÅS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65746-2019</t>
        </is>
      </c>
      <c r="B1380" s="1" t="n">
        <v>43804</v>
      </c>
      <c r="C1380" s="1" t="n">
        <v>45828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Övriga statliga verk och myndigheter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65691-2019</t>
        </is>
      </c>
      <c r="B1381" s="1" t="n">
        <v>43804</v>
      </c>
      <c r="C1381" s="1" t="n">
        <v>45828</v>
      </c>
      <c r="D1381" t="inlineStr">
        <is>
          <t>JÖNKÖPINGS LÄN</t>
        </is>
      </c>
      <c r="E1381" t="inlineStr">
        <is>
          <t>SÄVSJÖ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65933-2019</t>
        </is>
      </c>
      <c r="B1382" s="1" t="n">
        <v>43805</v>
      </c>
      <c r="C1382" s="1" t="n">
        <v>45828</v>
      </c>
      <c r="D1382" t="inlineStr">
        <is>
          <t>JÖNKÖPINGS LÄN</t>
        </is>
      </c>
      <c r="E1382" t="inlineStr">
        <is>
          <t>VÄRNAMO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66023-2019</t>
        </is>
      </c>
      <c r="B1383" s="1" t="n">
        <v>43805</v>
      </c>
      <c r="C1383" s="1" t="n">
        <v>45828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65985-2019</t>
        </is>
      </c>
      <c r="B1384" s="1" t="n">
        <v>43805</v>
      </c>
      <c r="C1384" s="1" t="n">
        <v>45828</v>
      </c>
      <c r="D1384" t="inlineStr">
        <is>
          <t>JÖNKÖPINGS LÄN</t>
        </is>
      </c>
      <c r="E1384" t="inlineStr">
        <is>
          <t>GISLAVED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66057-2019</t>
        </is>
      </c>
      <c r="B1385" s="1" t="n">
        <v>43806</v>
      </c>
      <c r="C1385" s="1" t="n">
        <v>45828</v>
      </c>
      <c r="D1385" t="inlineStr">
        <is>
          <t>JÖNKÖPINGS LÄN</t>
        </is>
      </c>
      <c r="E1385" t="inlineStr">
        <is>
          <t>ANEBY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66229-2019</t>
        </is>
      </c>
      <c r="B1386" s="1" t="n">
        <v>43808</v>
      </c>
      <c r="C1386" s="1" t="n">
        <v>45828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66162-2019</t>
        </is>
      </c>
      <c r="B1387" s="1" t="n">
        <v>43808</v>
      </c>
      <c r="C1387" s="1" t="n">
        <v>45828</v>
      </c>
      <c r="D1387" t="inlineStr">
        <is>
          <t>JÖNKÖPINGS LÄN</t>
        </is>
      </c>
      <c r="E1387" t="inlineStr">
        <is>
          <t>EKSJÖ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66461-2019</t>
        </is>
      </c>
      <c r="B1388" s="1" t="n">
        <v>43809</v>
      </c>
      <c r="C1388" s="1" t="n">
        <v>45828</v>
      </c>
      <c r="D1388" t="inlineStr">
        <is>
          <t>JÖNKÖPINGS LÄN</t>
        </is>
      </c>
      <c r="E1388" t="inlineStr">
        <is>
          <t>EKSJÖ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67657-2019</t>
        </is>
      </c>
      <c r="B1389" s="1" t="n">
        <v>43809</v>
      </c>
      <c r="C1389" s="1" t="n">
        <v>45828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66472-2019</t>
        </is>
      </c>
      <c r="B1390" s="1" t="n">
        <v>43809</v>
      </c>
      <c r="C1390" s="1" t="n">
        <v>45828</v>
      </c>
      <c r="D1390" t="inlineStr">
        <is>
          <t>JÖNKÖPINGS LÄN</t>
        </is>
      </c>
      <c r="E1390" t="inlineStr">
        <is>
          <t>JÖNKÖPING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66814-2019</t>
        </is>
      </c>
      <c r="B1391" s="1" t="n">
        <v>43810</v>
      </c>
      <c r="C1391" s="1" t="n">
        <v>45828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66847-2019</t>
        </is>
      </c>
      <c r="B1392" s="1" t="n">
        <v>43810</v>
      </c>
      <c r="C1392" s="1" t="n">
        <v>45828</v>
      </c>
      <c r="D1392" t="inlineStr">
        <is>
          <t>JÖNKÖPINGS LÄN</t>
        </is>
      </c>
      <c r="E1392" t="inlineStr">
        <is>
          <t>SÄVSJÖ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66857-2019</t>
        </is>
      </c>
      <c r="B1393" s="1" t="n">
        <v>43810</v>
      </c>
      <c r="C1393" s="1" t="n">
        <v>45828</v>
      </c>
      <c r="D1393" t="inlineStr">
        <is>
          <t>JÖNKÖPINGS LÄN</t>
        </is>
      </c>
      <c r="E1393" t="inlineStr">
        <is>
          <t>ANEBY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66856-2019</t>
        </is>
      </c>
      <c r="B1394" s="1" t="n">
        <v>43810</v>
      </c>
      <c r="C1394" s="1" t="n">
        <v>45828</v>
      </c>
      <c r="D1394" t="inlineStr">
        <is>
          <t>JÖNKÖPINGS LÄN</t>
        </is>
      </c>
      <c r="E1394" t="inlineStr">
        <is>
          <t>SÄVSJÖ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66921-2019</t>
        </is>
      </c>
      <c r="B1395" s="1" t="n">
        <v>43810</v>
      </c>
      <c r="C1395" s="1" t="n">
        <v>45828</v>
      </c>
      <c r="D1395" t="inlineStr">
        <is>
          <t>JÖNKÖPINGS LÄN</t>
        </is>
      </c>
      <c r="E1395" t="inlineStr">
        <is>
          <t>GISLAVED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66809-2019</t>
        </is>
      </c>
      <c r="B1396" s="1" t="n">
        <v>43810</v>
      </c>
      <c r="C1396" s="1" t="n">
        <v>45828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66812-2019</t>
        </is>
      </c>
      <c r="B1397" s="1" t="n">
        <v>43810</v>
      </c>
      <c r="C1397" s="1" t="n">
        <v>45828</v>
      </c>
      <c r="D1397" t="inlineStr">
        <is>
          <t>JÖNKÖPINGS LÄN</t>
        </is>
      </c>
      <c r="E1397" t="inlineStr">
        <is>
          <t>GISLAVED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67034-2019</t>
        </is>
      </c>
      <c r="B1398" s="1" t="n">
        <v>43811</v>
      </c>
      <c r="C1398" s="1" t="n">
        <v>45828</v>
      </c>
      <c r="D1398" t="inlineStr">
        <is>
          <t>JÖNKÖPINGS LÄN</t>
        </is>
      </c>
      <c r="E1398" t="inlineStr">
        <is>
          <t>GISLAVED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67106-2019</t>
        </is>
      </c>
      <c r="B1399" s="1" t="n">
        <v>43811</v>
      </c>
      <c r="C1399" s="1" t="n">
        <v>45828</v>
      </c>
      <c r="D1399" t="inlineStr">
        <is>
          <t>JÖNKÖPINGS LÄN</t>
        </is>
      </c>
      <c r="E1399" t="inlineStr">
        <is>
          <t>TRANÅS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67032-2019</t>
        </is>
      </c>
      <c r="B1400" s="1" t="n">
        <v>43811</v>
      </c>
      <c r="C1400" s="1" t="n">
        <v>45828</v>
      </c>
      <c r="D1400" t="inlineStr">
        <is>
          <t>JÖNKÖPINGS LÄN</t>
        </is>
      </c>
      <c r="E1400" t="inlineStr">
        <is>
          <t>GISLAVED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67205-2019</t>
        </is>
      </c>
      <c r="B1401" s="1" t="n">
        <v>43811</v>
      </c>
      <c r="C1401" s="1" t="n">
        <v>45828</v>
      </c>
      <c r="D1401" t="inlineStr">
        <is>
          <t>JÖNKÖPINGS LÄN</t>
        </is>
      </c>
      <c r="E1401" t="inlineStr">
        <is>
          <t>NÄSSJÖ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67246-2019</t>
        </is>
      </c>
      <c r="B1402" s="1" t="n">
        <v>43812</v>
      </c>
      <c r="C1402" s="1" t="n">
        <v>45828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67436-2019</t>
        </is>
      </c>
      <c r="B1403" s="1" t="n">
        <v>43812</v>
      </c>
      <c r="C1403" s="1" t="n">
        <v>45828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67265-2019</t>
        </is>
      </c>
      <c r="B1404" s="1" t="n">
        <v>43812</v>
      </c>
      <c r="C1404" s="1" t="n">
        <v>45828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67476-2019</t>
        </is>
      </c>
      <c r="B1405" s="1" t="n">
        <v>43814</v>
      </c>
      <c r="C1405" s="1" t="n">
        <v>45828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67472-2019</t>
        </is>
      </c>
      <c r="B1406" s="1" t="n">
        <v>43814</v>
      </c>
      <c r="C1406" s="1" t="n">
        <v>45828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67465-2019</t>
        </is>
      </c>
      <c r="B1407" s="1" t="n">
        <v>43814</v>
      </c>
      <c r="C1407" s="1" t="n">
        <v>45828</v>
      </c>
      <c r="D1407" t="inlineStr">
        <is>
          <t>JÖNKÖPINGS LÄN</t>
        </is>
      </c>
      <c r="E1407" t="inlineStr">
        <is>
          <t>NÄSSJÖ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68654-2019</t>
        </is>
      </c>
      <c r="B1408" s="1" t="n">
        <v>43814</v>
      </c>
      <c r="C1408" s="1" t="n">
        <v>45828</v>
      </c>
      <c r="D1408" t="inlineStr">
        <is>
          <t>JÖNKÖPINGS LÄN</t>
        </is>
      </c>
      <c r="E1408" t="inlineStr">
        <is>
          <t>VETLANDA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67631-2019</t>
        </is>
      </c>
      <c r="B1409" s="1" t="n">
        <v>43815</v>
      </c>
      <c r="C1409" s="1" t="n">
        <v>45828</v>
      </c>
      <c r="D1409" t="inlineStr">
        <is>
          <t>JÖNKÖPINGS LÄN</t>
        </is>
      </c>
      <c r="E1409" t="inlineStr">
        <is>
          <t>SÄVSJÖ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67751-2019</t>
        </is>
      </c>
      <c r="B1410" s="1" t="n">
        <v>43815</v>
      </c>
      <c r="C1410" s="1" t="n">
        <v>45828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67785-2019</t>
        </is>
      </c>
      <c r="B1411" s="1" t="n">
        <v>43815</v>
      </c>
      <c r="C1411" s="1" t="n">
        <v>45828</v>
      </c>
      <c r="D1411" t="inlineStr">
        <is>
          <t>JÖNKÖPINGS LÄN</t>
        </is>
      </c>
      <c r="E1411" t="inlineStr">
        <is>
          <t>GISLAVED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67684-2019</t>
        </is>
      </c>
      <c r="B1412" s="1" t="n">
        <v>43815</v>
      </c>
      <c r="C1412" s="1" t="n">
        <v>45828</v>
      </c>
      <c r="D1412" t="inlineStr">
        <is>
          <t>JÖNKÖPINGS LÄN</t>
        </is>
      </c>
      <c r="E1412" t="inlineStr">
        <is>
          <t>SÄVSJÖ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68772-2019</t>
        </is>
      </c>
      <c r="B1413" s="1" t="n">
        <v>43815</v>
      </c>
      <c r="C1413" s="1" t="n">
        <v>45828</v>
      </c>
      <c r="D1413" t="inlineStr">
        <is>
          <t>JÖNKÖPINGS LÄN</t>
        </is>
      </c>
      <c r="E1413" t="inlineStr">
        <is>
          <t>VÄRNAMO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68776-2019</t>
        </is>
      </c>
      <c r="B1414" s="1" t="n">
        <v>43815</v>
      </c>
      <c r="C1414" s="1" t="n">
        <v>45828</v>
      </c>
      <c r="D1414" t="inlineStr">
        <is>
          <t>JÖNKÖPINGS LÄN</t>
        </is>
      </c>
      <c r="E1414" t="inlineStr">
        <is>
          <t>VÄRNAMO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296-2020</t>
        </is>
      </c>
      <c r="B1415" s="1" t="n">
        <v>43816</v>
      </c>
      <c r="C1415" s="1" t="n">
        <v>45828</v>
      </c>
      <c r="D1415" t="inlineStr">
        <is>
          <t>JÖNKÖPINGS LÄN</t>
        </is>
      </c>
      <c r="E1415" t="inlineStr">
        <is>
          <t>NÄSSJÖ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67838-2019</t>
        </is>
      </c>
      <c r="B1416" s="1" t="n">
        <v>43816</v>
      </c>
      <c r="C1416" s="1" t="n">
        <v>45828</v>
      </c>
      <c r="D1416" t="inlineStr">
        <is>
          <t>JÖNKÖPINGS LÄN</t>
        </is>
      </c>
      <c r="E1416" t="inlineStr">
        <is>
          <t>EKSJÖ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68029-2019</t>
        </is>
      </c>
      <c r="B1417" s="1" t="n">
        <v>43816</v>
      </c>
      <c r="C1417" s="1" t="n">
        <v>45828</v>
      </c>
      <c r="D1417" t="inlineStr">
        <is>
          <t>JÖNKÖPINGS LÄN</t>
        </is>
      </c>
      <c r="E1417" t="inlineStr">
        <is>
          <t>TRANÅS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68039-2019</t>
        </is>
      </c>
      <c r="B1418" s="1" t="n">
        <v>43816</v>
      </c>
      <c r="C1418" s="1" t="n">
        <v>45828</v>
      </c>
      <c r="D1418" t="inlineStr">
        <is>
          <t>JÖNKÖPINGS LÄN</t>
        </is>
      </c>
      <c r="E1418" t="inlineStr">
        <is>
          <t>ANEBY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68112-2019</t>
        </is>
      </c>
      <c r="B1419" s="1" t="n">
        <v>43817</v>
      </c>
      <c r="C1419" s="1" t="n">
        <v>45828</v>
      </c>
      <c r="D1419" t="inlineStr">
        <is>
          <t>JÖNKÖPINGS LÄN</t>
        </is>
      </c>
      <c r="E1419" t="inlineStr">
        <is>
          <t>TRANÅS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294-2020</t>
        </is>
      </c>
      <c r="B1420" s="1" t="n">
        <v>43817</v>
      </c>
      <c r="C1420" s="1" t="n">
        <v>45828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886-2020</t>
        </is>
      </c>
      <c r="B1421" s="1" t="n">
        <v>43817</v>
      </c>
      <c r="C1421" s="1" t="n">
        <v>45828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891-2020</t>
        </is>
      </c>
      <c r="B1422" s="1" t="n">
        <v>43817</v>
      </c>
      <c r="C1422" s="1" t="n">
        <v>45828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68090-2019</t>
        </is>
      </c>
      <c r="B1423" s="1" t="n">
        <v>43817</v>
      </c>
      <c r="C1423" s="1" t="n">
        <v>45828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68206-2019</t>
        </is>
      </c>
      <c r="B1424" s="1" t="n">
        <v>43817</v>
      </c>
      <c r="C1424" s="1" t="n">
        <v>45828</v>
      </c>
      <c r="D1424" t="inlineStr">
        <is>
          <t>JÖNKÖPINGS LÄN</t>
        </is>
      </c>
      <c r="E1424" t="inlineStr">
        <is>
          <t>ANEBY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68227-2019</t>
        </is>
      </c>
      <c r="B1425" s="1" t="n">
        <v>43817</v>
      </c>
      <c r="C1425" s="1" t="n">
        <v>45828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Sveaskog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770-2020</t>
        </is>
      </c>
      <c r="B1426" s="1" t="n">
        <v>43817</v>
      </c>
      <c r="C1426" s="1" t="n">
        <v>45828</v>
      </c>
      <c r="D1426" t="inlineStr">
        <is>
          <t>JÖNKÖPINGS LÄN</t>
        </is>
      </c>
      <c r="E1426" t="inlineStr">
        <is>
          <t>EKSJÖ</t>
        </is>
      </c>
      <c r="G1426" t="n">
        <v>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68324-2019</t>
        </is>
      </c>
      <c r="B1427" s="1" t="n">
        <v>43818</v>
      </c>
      <c r="C1427" s="1" t="n">
        <v>45828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68507-2019</t>
        </is>
      </c>
      <c r="B1428" s="1" t="n">
        <v>43818</v>
      </c>
      <c r="C1428" s="1" t="n">
        <v>45828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68556-2019</t>
        </is>
      </c>
      <c r="B1429" s="1" t="n">
        <v>43818</v>
      </c>
      <c r="C1429" s="1" t="n">
        <v>45828</v>
      </c>
      <c r="D1429" t="inlineStr">
        <is>
          <t>JÖNKÖPINGS LÄN</t>
        </is>
      </c>
      <c r="E1429" t="inlineStr">
        <is>
          <t>JÖNKÖPING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68516-2019</t>
        </is>
      </c>
      <c r="B1430" s="1" t="n">
        <v>43818</v>
      </c>
      <c r="C1430" s="1" t="n">
        <v>45828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68503-2019</t>
        </is>
      </c>
      <c r="B1431" s="1" t="n">
        <v>43818</v>
      </c>
      <c r="C1431" s="1" t="n">
        <v>45828</v>
      </c>
      <c r="D1431" t="inlineStr">
        <is>
          <t>JÖNKÖPINGS LÄN</t>
        </is>
      </c>
      <c r="E1431" t="inlineStr">
        <is>
          <t>VETLANDA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68537-2019</t>
        </is>
      </c>
      <c r="B1432" s="1" t="n">
        <v>43818</v>
      </c>
      <c r="C1432" s="1" t="n">
        <v>45828</v>
      </c>
      <c r="D1432" t="inlineStr">
        <is>
          <t>JÖNKÖPINGS LÄN</t>
        </is>
      </c>
      <c r="E1432" t="inlineStr">
        <is>
          <t>JÖNKÖPING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68422-2019</t>
        </is>
      </c>
      <c r="B1433" s="1" t="n">
        <v>43818</v>
      </c>
      <c r="C1433" s="1" t="n">
        <v>45828</v>
      </c>
      <c r="D1433" t="inlineStr">
        <is>
          <t>JÖNKÖPINGS LÄN</t>
        </is>
      </c>
      <c r="E1433" t="inlineStr">
        <is>
          <t>NÄSSJÖ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68364-2019</t>
        </is>
      </c>
      <c r="B1434" s="1" t="n">
        <v>43818</v>
      </c>
      <c r="C1434" s="1" t="n">
        <v>45828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68681-2019</t>
        </is>
      </c>
      <c r="B1435" s="1" t="n">
        <v>43819</v>
      </c>
      <c r="C1435" s="1" t="n">
        <v>45828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68748-2019</t>
        </is>
      </c>
      <c r="B1436" s="1" t="n">
        <v>43819</v>
      </c>
      <c r="C1436" s="1" t="n">
        <v>45828</v>
      </c>
      <c r="D1436" t="inlineStr">
        <is>
          <t>JÖNKÖPINGS LÄN</t>
        </is>
      </c>
      <c r="E1436" t="inlineStr">
        <is>
          <t>VETLANDA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68738-2019</t>
        </is>
      </c>
      <c r="B1437" s="1" t="n">
        <v>43819</v>
      </c>
      <c r="C1437" s="1" t="n">
        <v>45828</v>
      </c>
      <c r="D1437" t="inlineStr">
        <is>
          <t>JÖNKÖPINGS LÄN</t>
        </is>
      </c>
      <c r="E1437" t="inlineStr">
        <is>
          <t>EKSJÖ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68765-2019</t>
        </is>
      </c>
      <c r="B1438" s="1" t="n">
        <v>43819</v>
      </c>
      <c r="C1438" s="1" t="n">
        <v>45828</v>
      </c>
      <c r="D1438" t="inlineStr">
        <is>
          <t>JÖNKÖPINGS LÄN</t>
        </is>
      </c>
      <c r="E1438" t="inlineStr">
        <is>
          <t>VETLANDA</t>
        </is>
      </c>
      <c r="G1438" t="n">
        <v>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68725-2019</t>
        </is>
      </c>
      <c r="B1439" s="1" t="n">
        <v>43819</v>
      </c>
      <c r="C1439" s="1" t="n">
        <v>45828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68733-2019</t>
        </is>
      </c>
      <c r="B1440" s="1" t="n">
        <v>43819</v>
      </c>
      <c r="C1440" s="1" t="n">
        <v>45828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69007-2019</t>
        </is>
      </c>
      <c r="B1441" s="1" t="n">
        <v>43826</v>
      </c>
      <c r="C1441" s="1" t="n">
        <v>45828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22-2020</t>
        </is>
      </c>
      <c r="B1442" s="1" t="n">
        <v>43832</v>
      </c>
      <c r="C1442" s="1" t="n">
        <v>45828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Kommuner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1752-2020</t>
        </is>
      </c>
      <c r="B1443" s="1" t="n">
        <v>43832</v>
      </c>
      <c r="C1443" s="1" t="n">
        <v>45828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205-2020</t>
        </is>
      </c>
      <c r="B1444" s="1" t="n">
        <v>43833</v>
      </c>
      <c r="C1444" s="1" t="n">
        <v>45828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189-2020</t>
        </is>
      </c>
      <c r="B1445" s="1" t="n">
        <v>43833</v>
      </c>
      <c r="C1445" s="1" t="n">
        <v>45828</v>
      </c>
      <c r="D1445" t="inlineStr">
        <is>
          <t>JÖNKÖPINGS LÄN</t>
        </is>
      </c>
      <c r="E1445" t="inlineStr">
        <is>
          <t>SÄVSJÖ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1750-2020</t>
        </is>
      </c>
      <c r="B1446" s="1" t="n">
        <v>43833</v>
      </c>
      <c r="C1446" s="1" t="n">
        <v>45828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206-2020</t>
        </is>
      </c>
      <c r="B1447" s="1" t="n">
        <v>43833</v>
      </c>
      <c r="C1447" s="1" t="n">
        <v>45828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202-2020</t>
        </is>
      </c>
      <c r="B1448" s="1" t="n">
        <v>43833</v>
      </c>
      <c r="C1448" s="1" t="n">
        <v>45828</v>
      </c>
      <c r="D1448" t="inlineStr">
        <is>
          <t>JÖNKÖPINGS LÄN</t>
        </is>
      </c>
      <c r="E1448" t="inlineStr">
        <is>
          <t>NÄSSJÖ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203-2020</t>
        </is>
      </c>
      <c r="B1449" s="1" t="n">
        <v>43833</v>
      </c>
      <c r="C1449" s="1" t="n">
        <v>45828</v>
      </c>
      <c r="D1449" t="inlineStr">
        <is>
          <t>JÖNKÖPINGS LÄN</t>
        </is>
      </c>
      <c r="E1449" t="inlineStr">
        <is>
          <t>NÄSSJÖ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207-2020</t>
        </is>
      </c>
      <c r="B1450" s="1" t="n">
        <v>43833</v>
      </c>
      <c r="C1450" s="1" t="n">
        <v>45828</v>
      </c>
      <c r="D1450" t="inlineStr">
        <is>
          <t>JÖNKÖPINGS LÄN</t>
        </is>
      </c>
      <c r="E1450" t="inlineStr">
        <is>
          <t>NÄSSJÖ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204-2020</t>
        </is>
      </c>
      <c r="B1451" s="1" t="n">
        <v>43833</v>
      </c>
      <c r="C1451" s="1" t="n">
        <v>45828</v>
      </c>
      <c r="D1451" t="inlineStr">
        <is>
          <t>JÖNKÖPINGS LÄN</t>
        </is>
      </c>
      <c r="E1451" t="inlineStr">
        <is>
          <t>NÄSSJÖ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1824-2020</t>
        </is>
      </c>
      <c r="B1452" s="1" t="n">
        <v>43833</v>
      </c>
      <c r="C1452" s="1" t="n">
        <v>45828</v>
      </c>
      <c r="D1452" t="inlineStr">
        <is>
          <t>JÖNKÖPINGS LÄN</t>
        </is>
      </c>
      <c r="E1452" t="inlineStr">
        <is>
          <t>TRANÅS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260-2020</t>
        </is>
      </c>
      <c r="B1453" s="1" t="n">
        <v>43836</v>
      </c>
      <c r="C1453" s="1" t="n">
        <v>45828</v>
      </c>
      <c r="D1453" t="inlineStr">
        <is>
          <t>JÖNKÖPINGS LÄN</t>
        </is>
      </c>
      <c r="E1453" t="inlineStr">
        <is>
          <t>MULLSJÖ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291-2020</t>
        </is>
      </c>
      <c r="B1454" s="1" t="n">
        <v>43837</v>
      </c>
      <c r="C1454" s="1" t="n">
        <v>45828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289-2020</t>
        </is>
      </c>
      <c r="B1455" s="1" t="n">
        <v>43837</v>
      </c>
      <c r="C1455" s="1" t="n">
        <v>45828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Kyrkan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299-2020</t>
        </is>
      </c>
      <c r="B1456" s="1" t="n">
        <v>43837</v>
      </c>
      <c r="C1456" s="1" t="n">
        <v>45828</v>
      </c>
      <c r="D1456" t="inlineStr">
        <is>
          <t>JÖNKÖPINGS LÄN</t>
        </is>
      </c>
      <c r="E1456" t="inlineStr">
        <is>
          <t>VETLANDA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706-2020</t>
        </is>
      </c>
      <c r="B1457" s="1" t="n">
        <v>43838</v>
      </c>
      <c r="C1457" s="1" t="n">
        <v>45828</v>
      </c>
      <c r="D1457" t="inlineStr">
        <is>
          <t>JÖNKÖPINGS LÄN</t>
        </is>
      </c>
      <c r="E1457" t="inlineStr">
        <is>
          <t>GISLAVED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660-2020</t>
        </is>
      </c>
      <c r="B1458" s="1" t="n">
        <v>43838</v>
      </c>
      <c r="C1458" s="1" t="n">
        <v>45828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761-2020</t>
        </is>
      </c>
      <c r="B1459" s="1" t="n">
        <v>43838</v>
      </c>
      <c r="C1459" s="1" t="n">
        <v>45828</v>
      </c>
      <c r="D1459" t="inlineStr">
        <is>
          <t>JÖNKÖPINGS LÄN</t>
        </is>
      </c>
      <c r="E1459" t="inlineStr">
        <is>
          <t>EKSJÖ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552-2020</t>
        </is>
      </c>
      <c r="B1460" s="1" t="n">
        <v>43838</v>
      </c>
      <c r="C1460" s="1" t="n">
        <v>45828</v>
      </c>
      <c r="D1460" t="inlineStr">
        <is>
          <t>JÖNKÖPINGS LÄN</t>
        </is>
      </c>
      <c r="E1460" t="inlineStr">
        <is>
          <t>GISLAVED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749-2020</t>
        </is>
      </c>
      <c r="B1461" s="1" t="n">
        <v>43838</v>
      </c>
      <c r="C1461" s="1" t="n">
        <v>45828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778-2020</t>
        </is>
      </c>
      <c r="B1462" s="1" t="n">
        <v>43838</v>
      </c>
      <c r="C1462" s="1" t="n">
        <v>45828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640-2020</t>
        </is>
      </c>
      <c r="B1463" s="1" t="n">
        <v>43838</v>
      </c>
      <c r="C1463" s="1" t="n">
        <v>45828</v>
      </c>
      <c r="D1463" t="inlineStr">
        <is>
          <t>JÖNKÖPINGS LÄN</t>
        </is>
      </c>
      <c r="E1463" t="inlineStr">
        <is>
          <t>VETLANDA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787-2020</t>
        </is>
      </c>
      <c r="B1464" s="1" t="n">
        <v>43838</v>
      </c>
      <c r="C1464" s="1" t="n">
        <v>45828</v>
      </c>
      <c r="D1464" t="inlineStr">
        <is>
          <t>JÖNKÖPINGS LÄN</t>
        </is>
      </c>
      <c r="E1464" t="inlineStr">
        <is>
          <t>EKSJÖ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582-2020</t>
        </is>
      </c>
      <c r="B1465" s="1" t="n">
        <v>43838</v>
      </c>
      <c r="C1465" s="1" t="n">
        <v>45828</v>
      </c>
      <c r="D1465" t="inlineStr">
        <is>
          <t>JÖNKÖPINGS LÄN</t>
        </is>
      </c>
      <c r="E1465" t="inlineStr">
        <is>
          <t>GNOSJÖ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782-2020</t>
        </is>
      </c>
      <c r="B1466" s="1" t="n">
        <v>43838</v>
      </c>
      <c r="C1466" s="1" t="n">
        <v>45828</v>
      </c>
      <c r="D1466" t="inlineStr">
        <is>
          <t>JÖNKÖPINGS LÄN</t>
        </is>
      </c>
      <c r="E1466" t="inlineStr">
        <is>
          <t>GISLAVED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1013-2020</t>
        </is>
      </c>
      <c r="B1467" s="1" t="n">
        <v>43839</v>
      </c>
      <c r="C1467" s="1" t="n">
        <v>45828</v>
      </c>
      <c r="D1467" t="inlineStr">
        <is>
          <t>JÖNKÖPINGS LÄN</t>
        </is>
      </c>
      <c r="E1467" t="inlineStr">
        <is>
          <t>HABO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895-2020</t>
        </is>
      </c>
      <c r="B1468" s="1" t="n">
        <v>43839</v>
      </c>
      <c r="C1468" s="1" t="n">
        <v>45828</v>
      </c>
      <c r="D1468" t="inlineStr">
        <is>
          <t>JÖNKÖPINGS LÄN</t>
        </is>
      </c>
      <c r="E1468" t="inlineStr">
        <is>
          <t>EKSJÖ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2176-2020</t>
        </is>
      </c>
      <c r="B1469" s="1" t="n">
        <v>43839</v>
      </c>
      <c r="C1469" s="1" t="n">
        <v>45828</v>
      </c>
      <c r="D1469" t="inlineStr">
        <is>
          <t>JÖNKÖPINGS LÄN</t>
        </is>
      </c>
      <c r="E1469" t="inlineStr">
        <is>
          <t>VÄRNAMO</t>
        </is>
      </c>
      <c r="G1469" t="n">
        <v>11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875-2020</t>
        </is>
      </c>
      <c r="B1470" s="1" t="n">
        <v>43839</v>
      </c>
      <c r="C1470" s="1" t="n">
        <v>45828</v>
      </c>
      <c r="D1470" t="inlineStr">
        <is>
          <t>JÖNKÖPINGS LÄN</t>
        </is>
      </c>
      <c r="E1470" t="inlineStr">
        <is>
          <t>EKSJÖ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2402-2020</t>
        </is>
      </c>
      <c r="B1471" s="1" t="n">
        <v>43840</v>
      </c>
      <c r="C1471" s="1" t="n">
        <v>45828</v>
      </c>
      <c r="D1471" t="inlineStr">
        <is>
          <t>JÖNKÖPINGS LÄN</t>
        </is>
      </c>
      <c r="E1471" t="inlineStr">
        <is>
          <t>NÄSSJÖ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2335-2020</t>
        </is>
      </c>
      <c r="B1472" s="1" t="n">
        <v>43840</v>
      </c>
      <c r="C1472" s="1" t="n">
        <v>45828</v>
      </c>
      <c r="D1472" t="inlineStr">
        <is>
          <t>JÖNKÖPINGS LÄN</t>
        </is>
      </c>
      <c r="E1472" t="inlineStr">
        <is>
          <t>NÄSSJÖ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1273-2020</t>
        </is>
      </c>
      <c r="B1473" s="1" t="n">
        <v>43841</v>
      </c>
      <c r="C1473" s="1" t="n">
        <v>45828</v>
      </c>
      <c r="D1473" t="inlineStr">
        <is>
          <t>JÖNKÖPINGS LÄN</t>
        </is>
      </c>
      <c r="E1473" t="inlineStr">
        <is>
          <t>GISLAVED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1279-2020</t>
        </is>
      </c>
      <c r="B1474" s="1" t="n">
        <v>43841</v>
      </c>
      <c r="C1474" s="1" t="n">
        <v>45828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1278-2020</t>
        </is>
      </c>
      <c r="B1475" s="1" t="n">
        <v>43841</v>
      </c>
      <c r="C1475" s="1" t="n">
        <v>45828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1325-2020</t>
        </is>
      </c>
      <c r="B1476" s="1" t="n">
        <v>43843</v>
      </c>
      <c r="C1476" s="1" t="n">
        <v>45828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1565-2020</t>
        </is>
      </c>
      <c r="B1477" s="1" t="n">
        <v>43844</v>
      </c>
      <c r="C1477" s="1" t="n">
        <v>45828</v>
      </c>
      <c r="D1477" t="inlineStr">
        <is>
          <t>JÖNKÖPINGS LÄN</t>
        </is>
      </c>
      <c r="E1477" t="inlineStr">
        <is>
          <t>NÄSSJÖ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1692-2020</t>
        </is>
      </c>
      <c r="B1478" s="1" t="n">
        <v>43844</v>
      </c>
      <c r="C1478" s="1" t="n">
        <v>45828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2045-2020</t>
        </is>
      </c>
      <c r="B1479" s="1" t="n">
        <v>43845</v>
      </c>
      <c r="C1479" s="1" t="n">
        <v>45828</v>
      </c>
      <c r="D1479" t="inlineStr">
        <is>
          <t>JÖNKÖPINGS LÄN</t>
        </is>
      </c>
      <c r="E1479" t="inlineStr">
        <is>
          <t>VAGGERYD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2057-2020</t>
        </is>
      </c>
      <c r="B1480" s="1" t="n">
        <v>43845</v>
      </c>
      <c r="C1480" s="1" t="n">
        <v>45828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1889-2020</t>
        </is>
      </c>
      <c r="B1481" s="1" t="n">
        <v>43845</v>
      </c>
      <c r="C1481" s="1" t="n">
        <v>45828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3385-2020</t>
        </is>
      </c>
      <c r="B1482" s="1" t="n">
        <v>43845</v>
      </c>
      <c r="C1482" s="1" t="n">
        <v>45828</v>
      </c>
      <c r="D1482" t="inlineStr">
        <is>
          <t>JÖNKÖPINGS LÄN</t>
        </is>
      </c>
      <c r="E1482" t="inlineStr">
        <is>
          <t>NÄSSJÖ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3392-2020</t>
        </is>
      </c>
      <c r="B1483" s="1" t="n">
        <v>43845</v>
      </c>
      <c r="C1483" s="1" t="n">
        <v>45828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2200-2020</t>
        </is>
      </c>
      <c r="B1484" s="1" t="n">
        <v>43846</v>
      </c>
      <c r="C1484" s="1" t="n">
        <v>45828</v>
      </c>
      <c r="D1484" t="inlineStr">
        <is>
          <t>JÖNKÖPINGS LÄN</t>
        </is>
      </c>
      <c r="E1484" t="inlineStr">
        <is>
          <t>TRANÅS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2192-2020</t>
        </is>
      </c>
      <c r="B1485" s="1" t="n">
        <v>43846</v>
      </c>
      <c r="C1485" s="1" t="n">
        <v>45828</v>
      </c>
      <c r="D1485" t="inlineStr">
        <is>
          <t>JÖNKÖPINGS LÄN</t>
        </is>
      </c>
      <c r="E1485" t="inlineStr">
        <is>
          <t>TRANÅS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2307-2020</t>
        </is>
      </c>
      <c r="B1486" s="1" t="n">
        <v>43846</v>
      </c>
      <c r="C1486" s="1" t="n">
        <v>45828</v>
      </c>
      <c r="D1486" t="inlineStr">
        <is>
          <t>JÖNKÖPINGS LÄN</t>
        </is>
      </c>
      <c r="E1486" t="inlineStr">
        <is>
          <t>EKSJÖ</t>
        </is>
      </c>
      <c r="G1486" t="n">
        <v>7.6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2518-2020</t>
        </is>
      </c>
      <c r="B1487" s="1" t="n">
        <v>43847</v>
      </c>
      <c r="C1487" s="1" t="n">
        <v>45828</v>
      </c>
      <c r="D1487" t="inlineStr">
        <is>
          <t>JÖNKÖPINGS LÄN</t>
        </is>
      </c>
      <c r="E1487" t="inlineStr">
        <is>
          <t>VAGGERYD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2505-2020</t>
        </is>
      </c>
      <c r="B1488" s="1" t="n">
        <v>43847</v>
      </c>
      <c r="C1488" s="1" t="n">
        <v>45828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2482-2020</t>
        </is>
      </c>
      <c r="B1489" s="1" t="n">
        <v>43847</v>
      </c>
      <c r="C1489" s="1" t="n">
        <v>45828</v>
      </c>
      <c r="D1489" t="inlineStr">
        <is>
          <t>JÖNKÖPINGS LÄN</t>
        </is>
      </c>
      <c r="E1489" t="inlineStr">
        <is>
          <t>VAGGERYD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4066-2020</t>
        </is>
      </c>
      <c r="B1490" s="1" t="n">
        <v>43847</v>
      </c>
      <c r="C1490" s="1" t="n">
        <v>45828</v>
      </c>
      <c r="D1490" t="inlineStr">
        <is>
          <t>JÖNKÖPINGS LÄN</t>
        </is>
      </c>
      <c r="E1490" t="inlineStr">
        <is>
          <t>VÄRNAMO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2635-2020</t>
        </is>
      </c>
      <c r="B1491" s="1" t="n">
        <v>43847</v>
      </c>
      <c r="C1491" s="1" t="n">
        <v>45828</v>
      </c>
      <c r="D1491" t="inlineStr">
        <is>
          <t>JÖNKÖPINGS LÄN</t>
        </is>
      </c>
      <c r="E1491" t="inlineStr">
        <is>
          <t>GISLAVED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2839-2020</t>
        </is>
      </c>
      <c r="B1492" s="1" t="n">
        <v>43850</v>
      </c>
      <c r="C1492" s="1" t="n">
        <v>45828</v>
      </c>
      <c r="D1492" t="inlineStr">
        <is>
          <t>JÖNKÖPINGS LÄN</t>
        </is>
      </c>
      <c r="E1492" t="inlineStr">
        <is>
          <t>VETLANDA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2943-2020</t>
        </is>
      </c>
      <c r="B1493" s="1" t="n">
        <v>43850</v>
      </c>
      <c r="C1493" s="1" t="n">
        <v>45828</v>
      </c>
      <c r="D1493" t="inlineStr">
        <is>
          <t>JÖNKÖPINGS LÄN</t>
        </is>
      </c>
      <c r="E1493" t="inlineStr">
        <is>
          <t>JÖNKÖPING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4552-2020</t>
        </is>
      </c>
      <c r="B1494" s="1" t="n">
        <v>43850</v>
      </c>
      <c r="C1494" s="1" t="n">
        <v>45828</v>
      </c>
      <c r="D1494" t="inlineStr">
        <is>
          <t>JÖNKÖPINGS LÄN</t>
        </is>
      </c>
      <c r="E1494" t="inlineStr">
        <is>
          <t>NÄSSJÖ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2900-2020</t>
        </is>
      </c>
      <c r="B1495" s="1" t="n">
        <v>43850</v>
      </c>
      <c r="C1495" s="1" t="n">
        <v>45828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2702-2020</t>
        </is>
      </c>
      <c r="B1496" s="1" t="n">
        <v>43850</v>
      </c>
      <c r="C1496" s="1" t="n">
        <v>45828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3024-2020</t>
        </is>
      </c>
      <c r="B1497" s="1" t="n">
        <v>43850</v>
      </c>
      <c r="C1497" s="1" t="n">
        <v>45828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3018-2020</t>
        </is>
      </c>
      <c r="B1498" s="1" t="n">
        <v>43851</v>
      </c>
      <c r="C1498" s="1" t="n">
        <v>45828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4559-2020</t>
        </is>
      </c>
      <c r="B1499" s="1" t="n">
        <v>43851</v>
      </c>
      <c r="C1499" s="1" t="n">
        <v>45828</v>
      </c>
      <c r="D1499" t="inlineStr">
        <is>
          <t>JÖNKÖPINGS LÄN</t>
        </is>
      </c>
      <c r="E1499" t="inlineStr">
        <is>
          <t>VETLANDA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3350-2020</t>
        </is>
      </c>
      <c r="B1500" s="1" t="n">
        <v>43852</v>
      </c>
      <c r="C1500" s="1" t="n">
        <v>45828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3623-2020</t>
        </is>
      </c>
      <c r="B1501" s="1" t="n">
        <v>43853</v>
      </c>
      <c r="C1501" s="1" t="n">
        <v>45828</v>
      </c>
      <c r="D1501" t="inlineStr">
        <is>
          <t>JÖNKÖPINGS LÄN</t>
        </is>
      </c>
      <c r="E1501" t="inlineStr">
        <is>
          <t>TRANÅS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3690-2020</t>
        </is>
      </c>
      <c r="B1502" s="1" t="n">
        <v>43853</v>
      </c>
      <c r="C1502" s="1" t="n">
        <v>45828</v>
      </c>
      <c r="D1502" t="inlineStr">
        <is>
          <t>JÖNKÖPINGS LÄN</t>
        </is>
      </c>
      <c r="E1502" t="inlineStr">
        <is>
          <t>TRANÅS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3625-2020</t>
        </is>
      </c>
      <c r="B1503" s="1" t="n">
        <v>43853</v>
      </c>
      <c r="C1503" s="1" t="n">
        <v>45828</v>
      </c>
      <c r="D1503" t="inlineStr">
        <is>
          <t>JÖNKÖPINGS LÄN</t>
        </is>
      </c>
      <c r="E1503" t="inlineStr">
        <is>
          <t>TRANÅS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3688-2020</t>
        </is>
      </c>
      <c r="B1504" s="1" t="n">
        <v>43853</v>
      </c>
      <c r="C1504" s="1" t="n">
        <v>45828</v>
      </c>
      <c r="D1504" t="inlineStr">
        <is>
          <t>JÖNKÖPINGS LÄN</t>
        </is>
      </c>
      <c r="E1504" t="inlineStr">
        <is>
          <t>TRANÅS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5039-2020</t>
        </is>
      </c>
      <c r="B1505" s="1" t="n">
        <v>43853</v>
      </c>
      <c r="C1505" s="1" t="n">
        <v>45828</v>
      </c>
      <c r="D1505" t="inlineStr">
        <is>
          <t>JÖNKÖPINGS LÄN</t>
        </is>
      </c>
      <c r="E1505" t="inlineStr">
        <is>
          <t>JÖNKÖPING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3737-2020</t>
        </is>
      </c>
      <c r="B1506" s="1" t="n">
        <v>43853</v>
      </c>
      <c r="C1506" s="1" t="n">
        <v>45828</v>
      </c>
      <c r="D1506" t="inlineStr">
        <is>
          <t>JÖNKÖPINGS LÄN</t>
        </is>
      </c>
      <c r="E1506" t="inlineStr">
        <is>
          <t>SÄVSJÖ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3746-2020</t>
        </is>
      </c>
      <c r="B1507" s="1" t="n">
        <v>43854</v>
      </c>
      <c r="C1507" s="1" t="n">
        <v>45828</v>
      </c>
      <c r="D1507" t="inlineStr">
        <is>
          <t>JÖNKÖPINGS LÄN</t>
        </is>
      </c>
      <c r="E1507" t="inlineStr">
        <is>
          <t>HABO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3778-2020</t>
        </is>
      </c>
      <c r="B1508" s="1" t="n">
        <v>43854</v>
      </c>
      <c r="C1508" s="1" t="n">
        <v>45828</v>
      </c>
      <c r="D1508" t="inlineStr">
        <is>
          <t>JÖNKÖPINGS LÄN</t>
        </is>
      </c>
      <c r="E1508" t="inlineStr">
        <is>
          <t>VÄRNAMO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3922-2020</t>
        </is>
      </c>
      <c r="B1509" s="1" t="n">
        <v>43854</v>
      </c>
      <c r="C1509" s="1" t="n">
        <v>45828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Kommuner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3750-2020</t>
        </is>
      </c>
      <c r="B1510" s="1" t="n">
        <v>43854</v>
      </c>
      <c r="C1510" s="1" t="n">
        <v>45828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3925-2020</t>
        </is>
      </c>
      <c r="B1511" s="1" t="n">
        <v>43854</v>
      </c>
      <c r="C1511" s="1" t="n">
        <v>45828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3978-2020</t>
        </is>
      </c>
      <c r="B1512" s="1" t="n">
        <v>43855</v>
      </c>
      <c r="C1512" s="1" t="n">
        <v>45828</v>
      </c>
      <c r="D1512" t="inlineStr">
        <is>
          <t>JÖNKÖPINGS LÄN</t>
        </is>
      </c>
      <c r="E1512" t="inlineStr">
        <is>
          <t>EKSJÖ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3998-2020</t>
        </is>
      </c>
      <c r="B1513" s="1" t="n">
        <v>43856</v>
      </c>
      <c r="C1513" s="1" t="n">
        <v>45828</v>
      </c>
      <c r="D1513" t="inlineStr">
        <is>
          <t>JÖNKÖPINGS LÄN</t>
        </is>
      </c>
      <c r="E1513" t="inlineStr">
        <is>
          <t>EKSJÖ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4175-2020</t>
        </is>
      </c>
      <c r="B1514" s="1" t="n">
        <v>43857</v>
      </c>
      <c r="C1514" s="1" t="n">
        <v>45828</v>
      </c>
      <c r="D1514" t="inlineStr">
        <is>
          <t>JÖNKÖPINGS LÄN</t>
        </is>
      </c>
      <c r="E1514" t="inlineStr">
        <is>
          <t>HABO</t>
        </is>
      </c>
      <c r="F1514" t="inlineStr">
        <is>
          <t>Kyrkan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4262-2020</t>
        </is>
      </c>
      <c r="B1515" s="1" t="n">
        <v>43857</v>
      </c>
      <c r="C1515" s="1" t="n">
        <v>45828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4264-2020</t>
        </is>
      </c>
      <c r="B1516" s="1" t="n">
        <v>43857</v>
      </c>
      <c r="C1516" s="1" t="n">
        <v>45828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4505-2020</t>
        </is>
      </c>
      <c r="B1517" s="1" t="n">
        <v>43858</v>
      </c>
      <c r="C1517" s="1" t="n">
        <v>45828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4542-2020</t>
        </is>
      </c>
      <c r="B1518" s="1" t="n">
        <v>43858</v>
      </c>
      <c r="C1518" s="1" t="n">
        <v>45828</v>
      </c>
      <c r="D1518" t="inlineStr">
        <is>
          <t>JÖNKÖPINGS LÄN</t>
        </is>
      </c>
      <c r="E1518" t="inlineStr">
        <is>
          <t>GISLAVED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4547-2020</t>
        </is>
      </c>
      <c r="B1519" s="1" t="n">
        <v>43858</v>
      </c>
      <c r="C1519" s="1" t="n">
        <v>45828</v>
      </c>
      <c r="D1519" t="inlineStr">
        <is>
          <t>JÖNKÖPINGS LÄN</t>
        </is>
      </c>
      <c r="E1519" t="inlineStr">
        <is>
          <t>JÖNKÖPING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4684-2020</t>
        </is>
      </c>
      <c r="B1520" s="1" t="n">
        <v>43858</v>
      </c>
      <c r="C1520" s="1" t="n">
        <v>45828</v>
      </c>
      <c r="D1520" t="inlineStr">
        <is>
          <t>JÖNKÖPINGS LÄN</t>
        </is>
      </c>
      <c r="E1520" t="inlineStr">
        <is>
          <t>HABO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4675-2020</t>
        </is>
      </c>
      <c r="B1521" s="1" t="n">
        <v>43858</v>
      </c>
      <c r="C1521" s="1" t="n">
        <v>45828</v>
      </c>
      <c r="D1521" t="inlineStr">
        <is>
          <t>JÖNKÖPINGS LÄN</t>
        </is>
      </c>
      <c r="E1521" t="inlineStr">
        <is>
          <t>HABO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5473-2020</t>
        </is>
      </c>
      <c r="B1522" s="1" t="n">
        <v>43858</v>
      </c>
      <c r="C1522" s="1" t="n">
        <v>45828</v>
      </c>
      <c r="D1522" t="inlineStr">
        <is>
          <t>JÖNKÖPINGS LÄN</t>
        </is>
      </c>
      <c r="E1522" t="inlineStr">
        <is>
          <t>NÄSSJÖ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4976-2020</t>
        </is>
      </c>
      <c r="B1523" s="1" t="n">
        <v>43859</v>
      </c>
      <c r="C1523" s="1" t="n">
        <v>45828</v>
      </c>
      <c r="D1523" t="inlineStr">
        <is>
          <t>JÖNKÖPINGS LÄN</t>
        </is>
      </c>
      <c r="E1523" t="inlineStr">
        <is>
          <t>VÄRNAMO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4823-2020</t>
        </is>
      </c>
      <c r="B1524" s="1" t="n">
        <v>43859</v>
      </c>
      <c r="C1524" s="1" t="n">
        <v>45828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5085-2020</t>
        </is>
      </c>
      <c r="B1525" s="1" t="n">
        <v>43859</v>
      </c>
      <c r="C1525" s="1" t="n">
        <v>45828</v>
      </c>
      <c r="D1525" t="inlineStr">
        <is>
          <t>JÖNKÖPINGS LÄN</t>
        </is>
      </c>
      <c r="E1525" t="inlineStr">
        <is>
          <t>ANEBY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5282-2020</t>
        </is>
      </c>
      <c r="B1526" s="1" t="n">
        <v>43860</v>
      </c>
      <c r="C1526" s="1" t="n">
        <v>45828</v>
      </c>
      <c r="D1526" t="inlineStr">
        <is>
          <t>JÖNKÖPINGS LÄN</t>
        </is>
      </c>
      <c r="E1526" t="inlineStr">
        <is>
          <t>ANEBY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5218-2020</t>
        </is>
      </c>
      <c r="B1527" s="1" t="n">
        <v>43860</v>
      </c>
      <c r="C1527" s="1" t="n">
        <v>45828</v>
      </c>
      <c r="D1527" t="inlineStr">
        <is>
          <t>JÖNKÖPINGS LÄN</t>
        </is>
      </c>
      <c r="E1527" t="inlineStr">
        <is>
          <t>EKSJÖ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5242-2020</t>
        </is>
      </c>
      <c r="B1528" s="1" t="n">
        <v>43860</v>
      </c>
      <c r="C1528" s="1" t="n">
        <v>45828</v>
      </c>
      <c r="D1528" t="inlineStr">
        <is>
          <t>JÖNKÖPINGS LÄN</t>
        </is>
      </c>
      <c r="E1528" t="inlineStr">
        <is>
          <t>EKSJÖ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5113-2020</t>
        </is>
      </c>
      <c r="B1529" s="1" t="n">
        <v>43860</v>
      </c>
      <c r="C1529" s="1" t="n">
        <v>45828</v>
      </c>
      <c r="D1529" t="inlineStr">
        <is>
          <t>JÖNKÖPINGS LÄN</t>
        </is>
      </c>
      <c r="E1529" t="inlineStr">
        <is>
          <t>SÄVSJÖ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5503-2020</t>
        </is>
      </c>
      <c r="B1530" s="1" t="n">
        <v>43861</v>
      </c>
      <c r="C1530" s="1" t="n">
        <v>45828</v>
      </c>
      <c r="D1530" t="inlineStr">
        <is>
          <t>JÖNKÖPINGS LÄN</t>
        </is>
      </c>
      <c r="E1530" t="inlineStr">
        <is>
          <t>NÄSSJÖ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5497-2020</t>
        </is>
      </c>
      <c r="B1531" s="1" t="n">
        <v>43861</v>
      </c>
      <c r="C1531" s="1" t="n">
        <v>45828</v>
      </c>
      <c r="D1531" t="inlineStr">
        <is>
          <t>JÖNKÖPINGS LÄN</t>
        </is>
      </c>
      <c r="E1531" t="inlineStr">
        <is>
          <t>ANEBY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5812-2020</t>
        </is>
      </c>
      <c r="B1532" s="1" t="n">
        <v>43861</v>
      </c>
      <c r="C1532" s="1" t="n">
        <v>45828</v>
      </c>
      <c r="D1532" t="inlineStr">
        <is>
          <t>JÖNKÖPINGS LÄN</t>
        </is>
      </c>
      <c r="E1532" t="inlineStr">
        <is>
          <t>NÄSSJÖ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5487-2020</t>
        </is>
      </c>
      <c r="B1533" s="1" t="n">
        <v>43861</v>
      </c>
      <c r="C1533" s="1" t="n">
        <v>45828</v>
      </c>
      <c r="D1533" t="inlineStr">
        <is>
          <t>JÖNKÖPINGS LÄN</t>
        </is>
      </c>
      <c r="E1533" t="inlineStr">
        <is>
          <t>NÄSSJÖ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5657-2020</t>
        </is>
      </c>
      <c r="B1534" s="1" t="n">
        <v>43861</v>
      </c>
      <c r="C1534" s="1" t="n">
        <v>45828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5868-2020</t>
        </is>
      </c>
      <c r="B1535" s="1" t="n">
        <v>43864</v>
      </c>
      <c r="C1535" s="1" t="n">
        <v>45828</v>
      </c>
      <c r="D1535" t="inlineStr">
        <is>
          <t>JÖNKÖPINGS LÄN</t>
        </is>
      </c>
      <c r="E1535" t="inlineStr">
        <is>
          <t>EKSJÖ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6096-2020</t>
        </is>
      </c>
      <c r="B1536" s="1" t="n">
        <v>43865</v>
      </c>
      <c r="C1536" s="1" t="n">
        <v>45828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6141-2020</t>
        </is>
      </c>
      <c r="B1537" s="1" t="n">
        <v>43865</v>
      </c>
      <c r="C1537" s="1" t="n">
        <v>45828</v>
      </c>
      <c r="D1537" t="inlineStr">
        <is>
          <t>JÖNKÖPINGS LÄN</t>
        </is>
      </c>
      <c r="E1537" t="inlineStr">
        <is>
          <t>TRANÅS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6139-2020</t>
        </is>
      </c>
      <c r="B1538" s="1" t="n">
        <v>43865</v>
      </c>
      <c r="C1538" s="1" t="n">
        <v>45828</v>
      </c>
      <c r="D1538" t="inlineStr">
        <is>
          <t>JÖNKÖPINGS LÄN</t>
        </is>
      </c>
      <c r="E1538" t="inlineStr">
        <is>
          <t>VAGGERYD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6147-2020</t>
        </is>
      </c>
      <c r="B1539" s="1" t="n">
        <v>43865</v>
      </c>
      <c r="C1539" s="1" t="n">
        <v>45828</v>
      </c>
      <c r="D1539" t="inlineStr">
        <is>
          <t>JÖNKÖPINGS LÄN</t>
        </is>
      </c>
      <c r="E1539" t="inlineStr">
        <is>
          <t>TRANÅS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6176-2020</t>
        </is>
      </c>
      <c r="B1540" s="1" t="n">
        <v>43865</v>
      </c>
      <c r="C1540" s="1" t="n">
        <v>45828</v>
      </c>
      <c r="D1540" t="inlineStr">
        <is>
          <t>JÖNKÖPINGS LÄN</t>
        </is>
      </c>
      <c r="E1540" t="inlineStr">
        <is>
          <t>JÖNKÖPING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6035-2020</t>
        </is>
      </c>
      <c r="B1541" s="1" t="n">
        <v>43865</v>
      </c>
      <c r="C1541" s="1" t="n">
        <v>45828</v>
      </c>
      <c r="D1541" t="inlineStr">
        <is>
          <t>JÖNKÖPINGS LÄN</t>
        </is>
      </c>
      <c r="E1541" t="inlineStr">
        <is>
          <t>TRANÅS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6056-2020</t>
        </is>
      </c>
      <c r="B1542" s="1" t="n">
        <v>43865</v>
      </c>
      <c r="C1542" s="1" t="n">
        <v>45828</v>
      </c>
      <c r="D1542" t="inlineStr">
        <is>
          <t>JÖNKÖPINGS LÄN</t>
        </is>
      </c>
      <c r="E1542" t="inlineStr">
        <is>
          <t>TRANÅS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6159-2020</t>
        </is>
      </c>
      <c r="B1543" s="1" t="n">
        <v>43865</v>
      </c>
      <c r="C1543" s="1" t="n">
        <v>45828</v>
      </c>
      <c r="D1543" t="inlineStr">
        <is>
          <t>JÖNKÖPINGS LÄN</t>
        </is>
      </c>
      <c r="E1543" t="inlineStr">
        <is>
          <t>TRANÅS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6113-2020</t>
        </is>
      </c>
      <c r="B1544" s="1" t="n">
        <v>43865</v>
      </c>
      <c r="C1544" s="1" t="n">
        <v>45828</v>
      </c>
      <c r="D1544" t="inlineStr">
        <is>
          <t>JÖNKÖPINGS LÄN</t>
        </is>
      </c>
      <c r="E1544" t="inlineStr">
        <is>
          <t>GISLAVED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6534-2020</t>
        </is>
      </c>
      <c r="B1545" s="1" t="n">
        <v>43865</v>
      </c>
      <c r="C1545" s="1" t="n">
        <v>45828</v>
      </c>
      <c r="D1545" t="inlineStr">
        <is>
          <t>JÖNKÖPINGS LÄN</t>
        </is>
      </c>
      <c r="E1545" t="inlineStr">
        <is>
          <t>TRANÅS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6120-2020</t>
        </is>
      </c>
      <c r="B1546" s="1" t="n">
        <v>43865</v>
      </c>
      <c r="C1546" s="1" t="n">
        <v>45828</v>
      </c>
      <c r="D1546" t="inlineStr">
        <is>
          <t>JÖNKÖPINGS LÄN</t>
        </is>
      </c>
      <c r="E1546" t="inlineStr">
        <is>
          <t>GNOSJÖ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6237-2020</t>
        </is>
      </c>
      <c r="B1547" s="1" t="n">
        <v>43866</v>
      </c>
      <c r="C1547" s="1" t="n">
        <v>45828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6283-2020</t>
        </is>
      </c>
      <c r="B1548" s="1" t="n">
        <v>43866</v>
      </c>
      <c r="C1548" s="1" t="n">
        <v>45828</v>
      </c>
      <c r="D1548" t="inlineStr">
        <is>
          <t>JÖNKÖPINGS LÄN</t>
        </is>
      </c>
      <c r="E1548" t="inlineStr">
        <is>
          <t>TRANÅS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6232-2020</t>
        </is>
      </c>
      <c r="B1549" s="1" t="n">
        <v>43866</v>
      </c>
      <c r="C1549" s="1" t="n">
        <v>45828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6228-2020</t>
        </is>
      </c>
      <c r="B1550" s="1" t="n">
        <v>43866</v>
      </c>
      <c r="C1550" s="1" t="n">
        <v>45828</v>
      </c>
      <c r="D1550" t="inlineStr">
        <is>
          <t>JÖNKÖPINGS LÄN</t>
        </is>
      </c>
      <c r="E1550" t="inlineStr">
        <is>
          <t>VÄRNAMO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6238-2020</t>
        </is>
      </c>
      <c r="B1551" s="1" t="n">
        <v>43866</v>
      </c>
      <c r="C1551" s="1" t="n">
        <v>45828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6243-2020</t>
        </is>
      </c>
      <c r="B1552" s="1" t="n">
        <v>43866</v>
      </c>
      <c r="C1552" s="1" t="n">
        <v>45828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6308-2020</t>
        </is>
      </c>
      <c r="B1553" s="1" t="n">
        <v>43866</v>
      </c>
      <c r="C1553" s="1" t="n">
        <v>45828</v>
      </c>
      <c r="D1553" t="inlineStr">
        <is>
          <t>JÖNKÖPINGS LÄN</t>
        </is>
      </c>
      <c r="E1553" t="inlineStr">
        <is>
          <t>VÄRNAMO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6278-2020</t>
        </is>
      </c>
      <c r="B1554" s="1" t="n">
        <v>43866</v>
      </c>
      <c r="C1554" s="1" t="n">
        <v>45828</v>
      </c>
      <c r="D1554" t="inlineStr">
        <is>
          <t>JÖNKÖPINGS LÄN</t>
        </is>
      </c>
      <c r="E1554" t="inlineStr">
        <is>
          <t>TRANÅS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6369-2020</t>
        </is>
      </c>
      <c r="B1555" s="1" t="n">
        <v>43866</v>
      </c>
      <c r="C1555" s="1" t="n">
        <v>45828</v>
      </c>
      <c r="D1555" t="inlineStr">
        <is>
          <t>JÖNKÖPINGS LÄN</t>
        </is>
      </c>
      <c r="E1555" t="inlineStr">
        <is>
          <t>ANEBY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6399-2020</t>
        </is>
      </c>
      <c r="B1556" s="1" t="n">
        <v>43866</v>
      </c>
      <c r="C1556" s="1" t="n">
        <v>45828</v>
      </c>
      <c r="D1556" t="inlineStr">
        <is>
          <t>JÖNKÖPINGS LÄN</t>
        </is>
      </c>
      <c r="E1556" t="inlineStr">
        <is>
          <t>NÄSSJÖ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6450-2020</t>
        </is>
      </c>
      <c r="B1557" s="1" t="n">
        <v>43866</v>
      </c>
      <c r="C1557" s="1" t="n">
        <v>45828</v>
      </c>
      <c r="D1557" t="inlineStr">
        <is>
          <t>JÖNKÖPINGS LÄN</t>
        </is>
      </c>
      <c r="E1557" t="inlineStr">
        <is>
          <t>TRANÅS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6394-2020</t>
        </is>
      </c>
      <c r="B1558" s="1" t="n">
        <v>43866</v>
      </c>
      <c r="C1558" s="1" t="n">
        <v>45828</v>
      </c>
      <c r="D1558" t="inlineStr">
        <is>
          <t>JÖNKÖPINGS LÄN</t>
        </is>
      </c>
      <c r="E1558" t="inlineStr">
        <is>
          <t>NÄSSJÖ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6420-2020</t>
        </is>
      </c>
      <c r="B1559" s="1" t="n">
        <v>43866</v>
      </c>
      <c r="C1559" s="1" t="n">
        <v>45828</v>
      </c>
      <c r="D1559" t="inlineStr">
        <is>
          <t>JÖNKÖPINGS LÄN</t>
        </is>
      </c>
      <c r="E1559" t="inlineStr">
        <is>
          <t>JÖNKÖPING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6347-2020</t>
        </is>
      </c>
      <c r="B1560" s="1" t="n">
        <v>43866</v>
      </c>
      <c r="C1560" s="1" t="n">
        <v>45828</v>
      </c>
      <c r="D1560" t="inlineStr">
        <is>
          <t>JÖNKÖPINGS LÄN</t>
        </is>
      </c>
      <c r="E1560" t="inlineStr">
        <is>
          <t>EKSJÖ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6255-2020</t>
        </is>
      </c>
      <c r="B1561" s="1" t="n">
        <v>43866</v>
      </c>
      <c r="C1561" s="1" t="n">
        <v>45828</v>
      </c>
      <c r="D1561" t="inlineStr">
        <is>
          <t>JÖNKÖPINGS LÄN</t>
        </is>
      </c>
      <c r="E1561" t="inlineStr">
        <is>
          <t>VETLANDA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6661-2020</t>
        </is>
      </c>
      <c r="B1562" s="1" t="n">
        <v>43867</v>
      </c>
      <c r="C1562" s="1" t="n">
        <v>45828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6777-2020</t>
        </is>
      </c>
      <c r="B1563" s="1" t="n">
        <v>43867</v>
      </c>
      <c r="C1563" s="1" t="n">
        <v>45828</v>
      </c>
      <c r="D1563" t="inlineStr">
        <is>
          <t>JÖNKÖPINGS LÄN</t>
        </is>
      </c>
      <c r="E1563" t="inlineStr">
        <is>
          <t>EKSJÖ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7127-2020</t>
        </is>
      </c>
      <c r="B1564" s="1" t="n">
        <v>43868</v>
      </c>
      <c r="C1564" s="1" t="n">
        <v>45828</v>
      </c>
      <c r="D1564" t="inlineStr">
        <is>
          <t>JÖNKÖPINGS LÄN</t>
        </is>
      </c>
      <c r="E1564" t="inlineStr">
        <is>
          <t>GISLAVED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7158-2020</t>
        </is>
      </c>
      <c r="B1565" s="1" t="n">
        <v>43870</v>
      </c>
      <c r="C1565" s="1" t="n">
        <v>45828</v>
      </c>
      <c r="D1565" t="inlineStr">
        <is>
          <t>JÖNKÖPINGS LÄN</t>
        </is>
      </c>
      <c r="E1565" t="inlineStr">
        <is>
          <t>GNOSJÖ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7157-2020</t>
        </is>
      </c>
      <c r="B1566" s="1" t="n">
        <v>43870</v>
      </c>
      <c r="C1566" s="1" t="n">
        <v>45828</v>
      </c>
      <c r="D1566" t="inlineStr">
        <is>
          <t>JÖNKÖPINGS LÄN</t>
        </is>
      </c>
      <c r="E1566" t="inlineStr">
        <is>
          <t>GNOSJÖ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7428-2020</t>
        </is>
      </c>
      <c r="B1567" s="1" t="n">
        <v>43871</v>
      </c>
      <c r="C1567" s="1" t="n">
        <v>45828</v>
      </c>
      <c r="D1567" t="inlineStr">
        <is>
          <t>JÖNKÖPINGS LÄN</t>
        </is>
      </c>
      <c r="E1567" t="inlineStr">
        <is>
          <t>VETLANDA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7214-2020</t>
        </is>
      </c>
      <c r="B1568" s="1" t="n">
        <v>43871</v>
      </c>
      <c r="C1568" s="1" t="n">
        <v>45828</v>
      </c>
      <c r="D1568" t="inlineStr">
        <is>
          <t>JÖNKÖPINGS LÄN</t>
        </is>
      </c>
      <c r="E1568" t="inlineStr">
        <is>
          <t>VÄRNAMO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7493-2020</t>
        </is>
      </c>
      <c r="B1569" s="1" t="n">
        <v>43871</v>
      </c>
      <c r="C1569" s="1" t="n">
        <v>45828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7446-2020</t>
        </is>
      </c>
      <c r="B1570" s="1" t="n">
        <v>43871</v>
      </c>
      <c r="C1570" s="1" t="n">
        <v>45828</v>
      </c>
      <c r="D1570" t="inlineStr">
        <is>
          <t>JÖNKÖPINGS LÄN</t>
        </is>
      </c>
      <c r="E1570" t="inlineStr">
        <is>
          <t>GISLAVED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17594-2020</t>
        </is>
      </c>
      <c r="B1571" s="1" t="n">
        <v>43872</v>
      </c>
      <c r="C1571" s="1" t="n">
        <v>45828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7766-2020</t>
        </is>
      </c>
      <c r="B1572" s="1" t="n">
        <v>43872</v>
      </c>
      <c r="C1572" s="1" t="n">
        <v>45828</v>
      </c>
      <c r="D1572" t="inlineStr">
        <is>
          <t>JÖNKÖPINGS LÄN</t>
        </is>
      </c>
      <c r="E1572" t="inlineStr">
        <is>
          <t>VETLANDA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7829-2020</t>
        </is>
      </c>
      <c r="B1573" s="1" t="n">
        <v>43873</v>
      </c>
      <c r="C1573" s="1" t="n">
        <v>45828</v>
      </c>
      <c r="D1573" t="inlineStr">
        <is>
          <t>JÖNKÖPINGS LÄN</t>
        </is>
      </c>
      <c r="E1573" t="inlineStr">
        <is>
          <t>VETLANDA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7962-2020</t>
        </is>
      </c>
      <c r="B1574" s="1" t="n">
        <v>43873</v>
      </c>
      <c r="C1574" s="1" t="n">
        <v>45828</v>
      </c>
      <c r="D1574" t="inlineStr">
        <is>
          <t>JÖNKÖPINGS LÄN</t>
        </is>
      </c>
      <c r="E1574" t="inlineStr">
        <is>
          <t>VÄRNAMO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7996-2020</t>
        </is>
      </c>
      <c r="B1575" s="1" t="n">
        <v>43873</v>
      </c>
      <c r="C1575" s="1" t="n">
        <v>45828</v>
      </c>
      <c r="D1575" t="inlineStr">
        <is>
          <t>JÖNKÖPINGS LÄN</t>
        </is>
      </c>
      <c r="E1575" t="inlineStr">
        <is>
          <t>JÖNKÖPING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8019-2020</t>
        </is>
      </c>
      <c r="B1576" s="1" t="n">
        <v>43873</v>
      </c>
      <c r="C1576" s="1" t="n">
        <v>45828</v>
      </c>
      <c r="D1576" t="inlineStr">
        <is>
          <t>JÖNKÖPINGS LÄN</t>
        </is>
      </c>
      <c r="E1576" t="inlineStr">
        <is>
          <t>NÄSSJÖ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8201-2020</t>
        </is>
      </c>
      <c r="B1577" s="1" t="n">
        <v>43873</v>
      </c>
      <c r="C1577" s="1" t="n">
        <v>45828</v>
      </c>
      <c r="D1577" t="inlineStr">
        <is>
          <t>JÖNKÖPINGS LÄN</t>
        </is>
      </c>
      <c r="E1577" t="inlineStr">
        <is>
          <t>VAGGERYD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7883-2020</t>
        </is>
      </c>
      <c r="B1578" s="1" t="n">
        <v>43873</v>
      </c>
      <c r="C1578" s="1" t="n">
        <v>45828</v>
      </c>
      <c r="D1578" t="inlineStr">
        <is>
          <t>JÖNKÖPINGS LÄN</t>
        </is>
      </c>
      <c r="E1578" t="inlineStr">
        <is>
          <t>TRANÅS</t>
        </is>
      </c>
      <c r="F1578" t="inlineStr">
        <is>
          <t>Kyrkan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8017-2020</t>
        </is>
      </c>
      <c r="B1579" s="1" t="n">
        <v>43873</v>
      </c>
      <c r="C1579" s="1" t="n">
        <v>45828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8206-2020</t>
        </is>
      </c>
      <c r="B1580" s="1" t="n">
        <v>43873</v>
      </c>
      <c r="C1580" s="1" t="n">
        <v>45828</v>
      </c>
      <c r="D1580" t="inlineStr">
        <is>
          <t>JÖNKÖPINGS LÄN</t>
        </is>
      </c>
      <c r="E1580" t="inlineStr">
        <is>
          <t>VAGGERYD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8079-2020</t>
        </is>
      </c>
      <c r="B1581" s="1" t="n">
        <v>43874</v>
      </c>
      <c r="C1581" s="1" t="n">
        <v>45828</v>
      </c>
      <c r="D1581" t="inlineStr">
        <is>
          <t>JÖNKÖPINGS LÄN</t>
        </is>
      </c>
      <c r="E1581" t="inlineStr">
        <is>
          <t>SÄVSJÖ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8329-2020</t>
        </is>
      </c>
      <c r="B1582" s="1" t="n">
        <v>43875</v>
      </c>
      <c r="C1582" s="1" t="n">
        <v>45828</v>
      </c>
      <c r="D1582" t="inlineStr">
        <is>
          <t>JÖNKÖPINGS LÄN</t>
        </is>
      </c>
      <c r="E1582" t="inlineStr">
        <is>
          <t>NÄSSJÖ</t>
        </is>
      </c>
      <c r="F1582" t="inlineStr">
        <is>
          <t>Kommuner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8327-2020</t>
        </is>
      </c>
      <c r="B1583" s="1" t="n">
        <v>43875</v>
      </c>
      <c r="C1583" s="1" t="n">
        <v>45828</v>
      </c>
      <c r="D1583" t="inlineStr">
        <is>
          <t>JÖNKÖPINGS LÄN</t>
        </is>
      </c>
      <c r="E1583" t="inlineStr">
        <is>
          <t>JÖNKÖPING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8413-2020</t>
        </is>
      </c>
      <c r="B1584" s="1" t="n">
        <v>43875</v>
      </c>
      <c r="C1584" s="1" t="n">
        <v>45828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8498-2020</t>
        </is>
      </c>
      <c r="B1585" s="1" t="n">
        <v>43875</v>
      </c>
      <c r="C1585" s="1" t="n">
        <v>45828</v>
      </c>
      <c r="D1585" t="inlineStr">
        <is>
          <t>JÖNKÖPINGS LÄN</t>
        </is>
      </c>
      <c r="E1585" t="inlineStr">
        <is>
          <t>NÄSSJÖ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8556-2020</t>
        </is>
      </c>
      <c r="B1586" s="1" t="n">
        <v>43877</v>
      </c>
      <c r="C1586" s="1" t="n">
        <v>45828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8742-2020</t>
        </is>
      </c>
      <c r="B1587" s="1" t="n">
        <v>43878</v>
      </c>
      <c r="C1587" s="1" t="n">
        <v>45828</v>
      </c>
      <c r="D1587" t="inlineStr">
        <is>
          <t>JÖNKÖPINGS LÄN</t>
        </is>
      </c>
      <c r="E1587" t="inlineStr">
        <is>
          <t>TRANÅS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8729-2020</t>
        </is>
      </c>
      <c r="B1588" s="1" t="n">
        <v>43878</v>
      </c>
      <c r="C1588" s="1" t="n">
        <v>45828</v>
      </c>
      <c r="D1588" t="inlineStr">
        <is>
          <t>JÖNKÖPINGS LÄN</t>
        </is>
      </c>
      <c r="E1588" t="inlineStr">
        <is>
          <t>TRANÅS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8889-2020</t>
        </is>
      </c>
      <c r="B1589" s="1" t="n">
        <v>43878</v>
      </c>
      <c r="C1589" s="1" t="n">
        <v>45828</v>
      </c>
      <c r="D1589" t="inlineStr">
        <is>
          <t>JÖNKÖPINGS LÄN</t>
        </is>
      </c>
      <c r="E1589" t="inlineStr">
        <is>
          <t>VÄRNAMO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9010-2020</t>
        </is>
      </c>
      <c r="B1590" s="1" t="n">
        <v>43878</v>
      </c>
      <c r="C1590" s="1" t="n">
        <v>45828</v>
      </c>
      <c r="D1590" t="inlineStr">
        <is>
          <t>JÖNKÖPINGS LÄN</t>
        </is>
      </c>
      <c r="E1590" t="inlineStr">
        <is>
          <t>VAGGERYD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8989-2020</t>
        </is>
      </c>
      <c r="B1591" s="1" t="n">
        <v>43879</v>
      </c>
      <c r="C1591" s="1" t="n">
        <v>45828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9000-2020</t>
        </is>
      </c>
      <c r="B1592" s="1" t="n">
        <v>43879</v>
      </c>
      <c r="C1592" s="1" t="n">
        <v>45828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9050-2020</t>
        </is>
      </c>
      <c r="B1593" s="1" t="n">
        <v>43879</v>
      </c>
      <c r="C1593" s="1" t="n">
        <v>45828</v>
      </c>
      <c r="D1593" t="inlineStr">
        <is>
          <t>JÖNKÖPINGS LÄN</t>
        </is>
      </c>
      <c r="E1593" t="inlineStr">
        <is>
          <t>ANEBY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9103-2020</t>
        </is>
      </c>
      <c r="B1594" s="1" t="n">
        <v>43879</v>
      </c>
      <c r="C1594" s="1" t="n">
        <v>45828</v>
      </c>
      <c r="D1594" t="inlineStr">
        <is>
          <t>JÖNKÖPINGS LÄN</t>
        </is>
      </c>
      <c r="E1594" t="inlineStr">
        <is>
          <t>VAGGERYD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9233-2020</t>
        </is>
      </c>
      <c r="B1595" s="1" t="n">
        <v>43879</v>
      </c>
      <c r="C1595" s="1" t="n">
        <v>45828</v>
      </c>
      <c r="D1595" t="inlineStr">
        <is>
          <t>JÖNKÖPINGS LÄN</t>
        </is>
      </c>
      <c r="E1595" t="inlineStr">
        <is>
          <t>JÖNKÖPING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9513-2020</t>
        </is>
      </c>
      <c r="B1596" s="1" t="n">
        <v>43880</v>
      </c>
      <c r="C1596" s="1" t="n">
        <v>45828</v>
      </c>
      <c r="D1596" t="inlineStr">
        <is>
          <t>JÖNKÖPINGS LÄN</t>
        </is>
      </c>
      <c r="E1596" t="inlineStr">
        <is>
          <t>JÖNKÖPING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9575-2020</t>
        </is>
      </c>
      <c r="B1597" s="1" t="n">
        <v>43881</v>
      </c>
      <c r="C1597" s="1" t="n">
        <v>45828</v>
      </c>
      <c r="D1597" t="inlineStr">
        <is>
          <t>JÖNKÖPINGS LÄN</t>
        </is>
      </c>
      <c r="E1597" t="inlineStr">
        <is>
          <t>VÄRNAMO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9626-2020</t>
        </is>
      </c>
      <c r="B1598" s="1" t="n">
        <v>43881</v>
      </c>
      <c r="C1598" s="1" t="n">
        <v>45828</v>
      </c>
      <c r="D1598" t="inlineStr">
        <is>
          <t>JÖNKÖPINGS LÄN</t>
        </is>
      </c>
      <c r="E1598" t="inlineStr">
        <is>
          <t>VÄRNAMO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9584-2020</t>
        </is>
      </c>
      <c r="B1599" s="1" t="n">
        <v>43881</v>
      </c>
      <c r="C1599" s="1" t="n">
        <v>45828</v>
      </c>
      <c r="D1599" t="inlineStr">
        <is>
          <t>JÖNKÖPINGS LÄN</t>
        </is>
      </c>
      <c r="E1599" t="inlineStr">
        <is>
          <t>VÄRNAMO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9910-2020</t>
        </is>
      </c>
      <c r="B1600" s="1" t="n">
        <v>43882</v>
      </c>
      <c r="C1600" s="1" t="n">
        <v>45828</v>
      </c>
      <c r="D1600" t="inlineStr">
        <is>
          <t>JÖNKÖPINGS LÄN</t>
        </is>
      </c>
      <c r="E1600" t="inlineStr">
        <is>
          <t>GISLAVED</t>
        </is>
      </c>
      <c r="G1600" t="n">
        <v>10.7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10076-2020</t>
        </is>
      </c>
      <c r="B1601" s="1" t="n">
        <v>43884</v>
      </c>
      <c r="C1601" s="1" t="n">
        <v>45828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10767-2020</t>
        </is>
      </c>
      <c r="B1602" s="1" t="n">
        <v>43885</v>
      </c>
      <c r="C1602" s="1" t="n">
        <v>45828</v>
      </c>
      <c r="D1602" t="inlineStr">
        <is>
          <t>JÖNKÖPINGS LÄN</t>
        </is>
      </c>
      <c r="E1602" t="inlineStr">
        <is>
          <t>GISLAVED</t>
        </is>
      </c>
      <c r="F1602" t="inlineStr">
        <is>
          <t>Kyrkan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10940-2020</t>
        </is>
      </c>
      <c r="B1603" s="1" t="n">
        <v>43885</v>
      </c>
      <c r="C1603" s="1" t="n">
        <v>45828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10928-2020</t>
        </is>
      </c>
      <c r="B1604" s="1" t="n">
        <v>43885</v>
      </c>
      <c r="C1604" s="1" t="n">
        <v>45828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10857-2020</t>
        </is>
      </c>
      <c r="B1605" s="1" t="n">
        <v>43885</v>
      </c>
      <c r="C1605" s="1" t="n">
        <v>45828</v>
      </c>
      <c r="D1605" t="inlineStr">
        <is>
          <t>JÖNKÖPINGS LÄN</t>
        </is>
      </c>
      <c r="E1605" t="inlineStr">
        <is>
          <t>VETLANDA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10935-2020</t>
        </is>
      </c>
      <c r="B1606" s="1" t="n">
        <v>43885</v>
      </c>
      <c r="C1606" s="1" t="n">
        <v>45828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11069-2020</t>
        </is>
      </c>
      <c r="B1607" s="1" t="n">
        <v>43885</v>
      </c>
      <c r="C1607" s="1" t="n">
        <v>45828</v>
      </c>
      <c r="D1607" t="inlineStr">
        <is>
          <t>JÖNKÖPINGS LÄN</t>
        </is>
      </c>
      <c r="E1607" t="inlineStr">
        <is>
          <t>VETLANDA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10443-2020</t>
        </is>
      </c>
      <c r="B1608" s="1" t="n">
        <v>43886</v>
      </c>
      <c r="C1608" s="1" t="n">
        <v>45828</v>
      </c>
      <c r="D1608" t="inlineStr">
        <is>
          <t>JÖNKÖPINGS LÄN</t>
        </is>
      </c>
      <c r="E1608" t="inlineStr">
        <is>
          <t>GISLAVED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10438-2020</t>
        </is>
      </c>
      <c r="B1609" s="1" t="n">
        <v>43886</v>
      </c>
      <c r="C1609" s="1" t="n">
        <v>45828</v>
      </c>
      <c r="D1609" t="inlineStr">
        <is>
          <t>JÖNKÖPINGS LÄN</t>
        </is>
      </c>
      <c r="E1609" t="inlineStr">
        <is>
          <t>GISLAVED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10517-2020</t>
        </is>
      </c>
      <c r="B1610" s="1" t="n">
        <v>43886</v>
      </c>
      <c r="C1610" s="1" t="n">
        <v>45828</v>
      </c>
      <c r="D1610" t="inlineStr">
        <is>
          <t>JÖNKÖPINGS LÄN</t>
        </is>
      </c>
      <c r="E1610" t="inlineStr">
        <is>
          <t>VETLANDA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10375-2020</t>
        </is>
      </c>
      <c r="B1611" s="1" t="n">
        <v>43886</v>
      </c>
      <c r="C1611" s="1" t="n">
        <v>45828</v>
      </c>
      <c r="D1611" t="inlineStr">
        <is>
          <t>JÖNKÖPINGS LÄN</t>
        </is>
      </c>
      <c r="E1611" t="inlineStr">
        <is>
          <t>VÄRNAMO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10613-2020</t>
        </is>
      </c>
      <c r="B1612" s="1" t="n">
        <v>43887</v>
      </c>
      <c r="C1612" s="1" t="n">
        <v>45828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10133-2020</t>
        </is>
      </c>
      <c r="B1613" s="1" t="n">
        <v>43887</v>
      </c>
      <c r="C1613" s="1" t="n">
        <v>45828</v>
      </c>
      <c r="D1613" t="inlineStr">
        <is>
          <t>JÖNKÖPINGS LÄN</t>
        </is>
      </c>
      <c r="E1613" t="inlineStr">
        <is>
          <t>ANEBY</t>
        </is>
      </c>
      <c r="F1613" t="inlineStr">
        <is>
          <t>Sveaskog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10127-2020</t>
        </is>
      </c>
      <c r="B1614" s="1" t="n">
        <v>43887</v>
      </c>
      <c r="C1614" s="1" t="n">
        <v>45828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10128-2020</t>
        </is>
      </c>
      <c r="B1615" s="1" t="n">
        <v>43887</v>
      </c>
      <c r="C1615" s="1" t="n">
        <v>45828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11464-2020</t>
        </is>
      </c>
      <c r="B1616" s="1" t="n">
        <v>43887</v>
      </c>
      <c r="C1616" s="1" t="n">
        <v>45828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10687-2020</t>
        </is>
      </c>
      <c r="B1617" s="1" t="n">
        <v>43888</v>
      </c>
      <c r="C1617" s="1" t="n">
        <v>45828</v>
      </c>
      <c r="D1617" t="inlineStr">
        <is>
          <t>JÖNKÖPINGS LÄN</t>
        </is>
      </c>
      <c r="E1617" t="inlineStr">
        <is>
          <t>VÄRNAMO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10693-2020</t>
        </is>
      </c>
      <c r="B1618" s="1" t="n">
        <v>43888</v>
      </c>
      <c r="C1618" s="1" t="n">
        <v>45828</v>
      </c>
      <c r="D1618" t="inlineStr">
        <is>
          <t>JÖNKÖPINGS LÄN</t>
        </is>
      </c>
      <c r="E1618" t="inlineStr">
        <is>
          <t>VÄRNAMO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10723-2020</t>
        </is>
      </c>
      <c r="B1619" s="1" t="n">
        <v>43888</v>
      </c>
      <c r="C1619" s="1" t="n">
        <v>45828</v>
      </c>
      <c r="D1619" t="inlineStr">
        <is>
          <t>JÖNKÖPINGS LÄN</t>
        </is>
      </c>
      <c r="E1619" t="inlineStr">
        <is>
          <t>NÄSSJÖ</t>
        </is>
      </c>
      <c r="F1619" t="inlineStr">
        <is>
          <t>Kommuner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10694-2020</t>
        </is>
      </c>
      <c r="B1620" s="1" t="n">
        <v>43888</v>
      </c>
      <c r="C1620" s="1" t="n">
        <v>45828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10726-2020</t>
        </is>
      </c>
      <c r="B1621" s="1" t="n">
        <v>43888</v>
      </c>
      <c r="C1621" s="1" t="n">
        <v>45828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10686-2020</t>
        </is>
      </c>
      <c r="B1622" s="1" t="n">
        <v>43888</v>
      </c>
      <c r="C1622" s="1" t="n">
        <v>45828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10691-2020</t>
        </is>
      </c>
      <c r="B1623" s="1" t="n">
        <v>43888</v>
      </c>
      <c r="C1623" s="1" t="n">
        <v>45828</v>
      </c>
      <c r="D1623" t="inlineStr">
        <is>
          <t>JÖNKÖPINGS LÄN</t>
        </is>
      </c>
      <c r="E1623" t="inlineStr">
        <is>
          <t>VÄRNAMO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10688-2020</t>
        </is>
      </c>
      <c r="B1624" s="1" t="n">
        <v>43888</v>
      </c>
      <c r="C1624" s="1" t="n">
        <v>45828</v>
      </c>
      <c r="D1624" t="inlineStr">
        <is>
          <t>JÖNKÖPINGS LÄN</t>
        </is>
      </c>
      <c r="E1624" t="inlineStr">
        <is>
          <t>VÄRNAMO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10689-2020</t>
        </is>
      </c>
      <c r="B1625" s="1" t="n">
        <v>43888</v>
      </c>
      <c r="C1625" s="1" t="n">
        <v>45828</v>
      </c>
      <c r="D1625" t="inlineStr">
        <is>
          <t>JÖNKÖPINGS LÄN</t>
        </is>
      </c>
      <c r="E1625" t="inlineStr">
        <is>
          <t>VÄRNAMO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10895-2020</t>
        </is>
      </c>
      <c r="B1626" s="1" t="n">
        <v>43889</v>
      </c>
      <c r="C1626" s="1" t="n">
        <v>45828</v>
      </c>
      <c r="D1626" t="inlineStr">
        <is>
          <t>JÖNKÖPINGS LÄN</t>
        </is>
      </c>
      <c r="E1626" t="inlineStr">
        <is>
          <t>JÖNKÖPING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11003-2020</t>
        </is>
      </c>
      <c r="B1627" s="1" t="n">
        <v>43889</v>
      </c>
      <c r="C1627" s="1" t="n">
        <v>45828</v>
      </c>
      <c r="D1627" t="inlineStr">
        <is>
          <t>JÖNKÖPINGS LÄN</t>
        </is>
      </c>
      <c r="E1627" t="inlineStr">
        <is>
          <t>GISLAVED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10951-2020</t>
        </is>
      </c>
      <c r="B1628" s="1" t="n">
        <v>43889</v>
      </c>
      <c r="C1628" s="1" t="n">
        <v>45828</v>
      </c>
      <c r="D1628" t="inlineStr">
        <is>
          <t>JÖNKÖPINGS LÄN</t>
        </is>
      </c>
      <c r="E1628" t="inlineStr">
        <is>
          <t>GNOSJÖ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11008-2020</t>
        </is>
      </c>
      <c r="B1629" s="1" t="n">
        <v>43889</v>
      </c>
      <c r="C1629" s="1" t="n">
        <v>45828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11942-2020</t>
        </is>
      </c>
      <c r="B1630" s="1" t="n">
        <v>43889</v>
      </c>
      <c r="C1630" s="1" t="n">
        <v>45828</v>
      </c>
      <c r="D1630" t="inlineStr">
        <is>
          <t>JÖNKÖPINGS LÄN</t>
        </is>
      </c>
      <c r="E1630" t="inlineStr">
        <is>
          <t>VÄRNAMO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11951-2020</t>
        </is>
      </c>
      <c r="B1631" s="1" t="n">
        <v>43889</v>
      </c>
      <c r="C1631" s="1" t="n">
        <v>45828</v>
      </c>
      <c r="D1631" t="inlineStr">
        <is>
          <t>JÖNKÖPINGS LÄN</t>
        </is>
      </c>
      <c r="E1631" t="inlineStr">
        <is>
          <t>VÄRNAMO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11150-2020</t>
        </is>
      </c>
      <c r="B1632" s="1" t="n">
        <v>43891</v>
      </c>
      <c r="C1632" s="1" t="n">
        <v>45828</v>
      </c>
      <c r="D1632" t="inlineStr">
        <is>
          <t>JÖNKÖPINGS LÄN</t>
        </is>
      </c>
      <c r="E1632" t="inlineStr">
        <is>
          <t>VAGGERYD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11468-2020</t>
        </is>
      </c>
      <c r="B1633" s="1" t="n">
        <v>43892</v>
      </c>
      <c r="C1633" s="1" t="n">
        <v>45828</v>
      </c>
      <c r="D1633" t="inlineStr">
        <is>
          <t>JÖNKÖPINGS LÄN</t>
        </is>
      </c>
      <c r="E1633" t="inlineStr">
        <is>
          <t>TRANÅS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11389-2020</t>
        </is>
      </c>
      <c r="B1634" s="1" t="n">
        <v>43892</v>
      </c>
      <c r="C1634" s="1" t="n">
        <v>45828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11292-2020</t>
        </is>
      </c>
      <c r="B1635" s="1" t="n">
        <v>43892</v>
      </c>
      <c r="C1635" s="1" t="n">
        <v>45828</v>
      </c>
      <c r="D1635" t="inlineStr">
        <is>
          <t>JÖNKÖPINGS LÄN</t>
        </is>
      </c>
      <c r="E1635" t="inlineStr">
        <is>
          <t>ANEBY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11532-2020</t>
        </is>
      </c>
      <c r="B1636" s="1" t="n">
        <v>43893</v>
      </c>
      <c r="C1636" s="1" t="n">
        <v>45828</v>
      </c>
      <c r="D1636" t="inlineStr">
        <is>
          <t>JÖNKÖPINGS LÄN</t>
        </is>
      </c>
      <c r="E1636" t="inlineStr">
        <is>
          <t>GISLAVED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11670-2020</t>
        </is>
      </c>
      <c r="B1637" s="1" t="n">
        <v>43893</v>
      </c>
      <c r="C1637" s="1" t="n">
        <v>45828</v>
      </c>
      <c r="D1637" t="inlineStr">
        <is>
          <t>JÖNKÖPINGS LÄN</t>
        </is>
      </c>
      <c r="E1637" t="inlineStr">
        <is>
          <t>GISLAVED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12694-2020</t>
        </is>
      </c>
      <c r="B1638" s="1" t="n">
        <v>43893</v>
      </c>
      <c r="C1638" s="1" t="n">
        <v>45828</v>
      </c>
      <c r="D1638" t="inlineStr">
        <is>
          <t>JÖNKÖPINGS LÄN</t>
        </is>
      </c>
      <c r="E1638" t="inlineStr">
        <is>
          <t>VAGGERYD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11830-2020</t>
        </is>
      </c>
      <c r="B1639" s="1" t="n">
        <v>43894</v>
      </c>
      <c r="C1639" s="1" t="n">
        <v>45828</v>
      </c>
      <c r="D1639" t="inlineStr">
        <is>
          <t>JÖNKÖPINGS LÄN</t>
        </is>
      </c>
      <c r="E1639" t="inlineStr">
        <is>
          <t>VETLANDA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11903-2020</t>
        </is>
      </c>
      <c r="B1640" s="1" t="n">
        <v>43894</v>
      </c>
      <c r="C1640" s="1" t="n">
        <v>45828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12201-2020</t>
        </is>
      </c>
      <c r="B1641" s="1" t="n">
        <v>43895</v>
      </c>
      <c r="C1641" s="1" t="n">
        <v>45828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12239-2020</t>
        </is>
      </c>
      <c r="B1642" s="1" t="n">
        <v>43895</v>
      </c>
      <c r="C1642" s="1" t="n">
        <v>45828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12194-2020</t>
        </is>
      </c>
      <c r="B1643" s="1" t="n">
        <v>43895</v>
      </c>
      <c r="C1643" s="1" t="n">
        <v>45828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12200-2020</t>
        </is>
      </c>
      <c r="B1644" s="1" t="n">
        <v>43895</v>
      </c>
      <c r="C1644" s="1" t="n">
        <v>45828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12238-2020</t>
        </is>
      </c>
      <c r="B1645" s="1" t="n">
        <v>43895</v>
      </c>
      <c r="C1645" s="1" t="n">
        <v>45828</v>
      </c>
      <c r="D1645" t="inlineStr">
        <is>
          <t>JÖNKÖPINGS LÄN</t>
        </is>
      </c>
      <c r="E1645" t="inlineStr">
        <is>
          <t>VÄRNAMO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12220-2020</t>
        </is>
      </c>
      <c r="B1646" s="1" t="n">
        <v>43895</v>
      </c>
      <c r="C1646" s="1" t="n">
        <v>45828</v>
      </c>
      <c r="D1646" t="inlineStr">
        <is>
          <t>JÖNKÖPINGS LÄN</t>
        </is>
      </c>
      <c r="E1646" t="inlineStr">
        <is>
          <t>NÄSSJÖ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12353-2020</t>
        </is>
      </c>
      <c r="B1647" s="1" t="n">
        <v>43895</v>
      </c>
      <c r="C1647" s="1" t="n">
        <v>45828</v>
      </c>
      <c r="D1647" t="inlineStr">
        <is>
          <t>JÖNKÖPINGS LÄN</t>
        </is>
      </c>
      <c r="E1647" t="inlineStr">
        <is>
          <t>EKSJÖ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12379-2020</t>
        </is>
      </c>
      <c r="B1648" s="1" t="n">
        <v>43895</v>
      </c>
      <c r="C1648" s="1" t="n">
        <v>45828</v>
      </c>
      <c r="D1648" t="inlineStr">
        <is>
          <t>JÖNKÖPINGS LÄN</t>
        </is>
      </c>
      <c r="E1648" t="inlineStr">
        <is>
          <t>EKSJÖ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13334-2020</t>
        </is>
      </c>
      <c r="B1649" s="1" t="n">
        <v>43895</v>
      </c>
      <c r="C1649" s="1" t="n">
        <v>45828</v>
      </c>
      <c r="D1649" t="inlineStr">
        <is>
          <t>JÖNKÖPINGS LÄN</t>
        </is>
      </c>
      <c r="E1649" t="inlineStr">
        <is>
          <t>EKSJÖ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12394-2020</t>
        </is>
      </c>
      <c r="B1650" s="1" t="n">
        <v>43896</v>
      </c>
      <c r="C1650" s="1" t="n">
        <v>45828</v>
      </c>
      <c r="D1650" t="inlineStr">
        <is>
          <t>JÖNKÖPINGS LÄN</t>
        </is>
      </c>
      <c r="E1650" t="inlineStr">
        <is>
          <t>SÄVSJÖ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12492-2020</t>
        </is>
      </c>
      <c r="B1651" s="1" t="n">
        <v>43896</v>
      </c>
      <c r="C1651" s="1" t="n">
        <v>45828</v>
      </c>
      <c r="D1651" t="inlineStr">
        <is>
          <t>JÖNKÖPINGS LÄN</t>
        </is>
      </c>
      <c r="E1651" t="inlineStr">
        <is>
          <t>VÄRNAMO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12429-2020</t>
        </is>
      </c>
      <c r="B1652" s="1" t="n">
        <v>43896</v>
      </c>
      <c r="C1652" s="1" t="n">
        <v>45828</v>
      </c>
      <c r="D1652" t="inlineStr">
        <is>
          <t>JÖNKÖPINGS LÄN</t>
        </is>
      </c>
      <c r="E1652" t="inlineStr">
        <is>
          <t>JÖNKÖPING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12719-2020</t>
        </is>
      </c>
      <c r="B1653" s="1" t="n">
        <v>43899</v>
      </c>
      <c r="C1653" s="1" t="n">
        <v>45828</v>
      </c>
      <c r="D1653" t="inlineStr">
        <is>
          <t>JÖNKÖPINGS LÄN</t>
        </is>
      </c>
      <c r="E1653" t="inlineStr">
        <is>
          <t>ANEBY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12788-2020</t>
        </is>
      </c>
      <c r="B1654" s="1" t="n">
        <v>43899</v>
      </c>
      <c r="C1654" s="1" t="n">
        <v>45828</v>
      </c>
      <c r="D1654" t="inlineStr">
        <is>
          <t>JÖNKÖPINGS LÄN</t>
        </is>
      </c>
      <c r="E1654" t="inlineStr">
        <is>
          <t>GISLAVED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12839-2020</t>
        </is>
      </c>
      <c r="B1655" s="1" t="n">
        <v>43899</v>
      </c>
      <c r="C1655" s="1" t="n">
        <v>45828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Övriga Aktiebolag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12850-2020</t>
        </is>
      </c>
      <c r="B1656" s="1" t="n">
        <v>43899</v>
      </c>
      <c r="C1656" s="1" t="n">
        <v>45828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13953-2020</t>
        </is>
      </c>
      <c r="B1657" s="1" t="n">
        <v>43899</v>
      </c>
      <c r="C1657" s="1" t="n">
        <v>45828</v>
      </c>
      <c r="D1657" t="inlineStr">
        <is>
          <t>JÖNKÖPINGS LÄN</t>
        </is>
      </c>
      <c r="E1657" t="inlineStr">
        <is>
          <t>VETLANDA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12677-2020</t>
        </is>
      </c>
      <c r="B1658" s="1" t="n">
        <v>43899</v>
      </c>
      <c r="C1658" s="1" t="n">
        <v>45828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14111-2020</t>
        </is>
      </c>
      <c r="B1659" s="1" t="n">
        <v>43900</v>
      </c>
      <c r="C1659" s="1" t="n">
        <v>45828</v>
      </c>
      <c r="D1659" t="inlineStr">
        <is>
          <t>JÖNKÖPINGS LÄN</t>
        </is>
      </c>
      <c r="E1659" t="inlineStr">
        <is>
          <t>VETLANDA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12977-2020</t>
        </is>
      </c>
      <c r="B1660" s="1" t="n">
        <v>43900</v>
      </c>
      <c r="C1660" s="1" t="n">
        <v>45828</v>
      </c>
      <c r="D1660" t="inlineStr">
        <is>
          <t>JÖNKÖPINGS LÄN</t>
        </is>
      </c>
      <c r="E1660" t="inlineStr">
        <is>
          <t>NÄSSJÖ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12884-2020</t>
        </is>
      </c>
      <c r="B1661" s="1" t="n">
        <v>43900</v>
      </c>
      <c r="C1661" s="1" t="n">
        <v>45828</v>
      </c>
      <c r="D1661" t="inlineStr">
        <is>
          <t>JÖNKÖPINGS LÄN</t>
        </is>
      </c>
      <c r="E1661" t="inlineStr">
        <is>
          <t>VETLANDA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12999-2020</t>
        </is>
      </c>
      <c r="B1662" s="1" t="n">
        <v>43900</v>
      </c>
      <c r="C1662" s="1" t="n">
        <v>45828</v>
      </c>
      <c r="D1662" t="inlineStr">
        <is>
          <t>JÖNKÖPINGS LÄN</t>
        </is>
      </c>
      <c r="E1662" t="inlineStr">
        <is>
          <t>NÄSSJÖ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13085-2020</t>
        </is>
      </c>
      <c r="B1663" s="1" t="n">
        <v>43901</v>
      </c>
      <c r="C1663" s="1" t="n">
        <v>45828</v>
      </c>
      <c r="D1663" t="inlineStr">
        <is>
          <t>JÖNKÖPINGS LÄN</t>
        </is>
      </c>
      <c r="E1663" t="inlineStr">
        <is>
          <t>NÄSSJÖ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13169-2020</t>
        </is>
      </c>
      <c r="B1664" s="1" t="n">
        <v>43901</v>
      </c>
      <c r="C1664" s="1" t="n">
        <v>45828</v>
      </c>
      <c r="D1664" t="inlineStr">
        <is>
          <t>JÖNKÖPINGS LÄN</t>
        </is>
      </c>
      <c r="E1664" t="inlineStr">
        <is>
          <t>VAGGERYD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13234-2020</t>
        </is>
      </c>
      <c r="B1665" s="1" t="n">
        <v>43901</v>
      </c>
      <c r="C1665" s="1" t="n">
        <v>45828</v>
      </c>
      <c r="D1665" t="inlineStr">
        <is>
          <t>JÖNKÖPINGS LÄN</t>
        </is>
      </c>
      <c r="E1665" t="inlineStr">
        <is>
          <t>TRANÅS</t>
        </is>
      </c>
      <c r="G1665" t="n">
        <v>6.5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14177-2020</t>
        </is>
      </c>
      <c r="B1666" s="1" t="n">
        <v>43901</v>
      </c>
      <c r="C1666" s="1" t="n">
        <v>45828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13249-2020</t>
        </is>
      </c>
      <c r="B1667" s="1" t="n">
        <v>43901</v>
      </c>
      <c r="C1667" s="1" t="n">
        <v>45828</v>
      </c>
      <c r="D1667" t="inlineStr">
        <is>
          <t>JÖNKÖPINGS LÄN</t>
        </is>
      </c>
      <c r="E1667" t="inlineStr">
        <is>
          <t>GISLAVED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13168-2020</t>
        </is>
      </c>
      <c r="B1668" s="1" t="n">
        <v>43901</v>
      </c>
      <c r="C1668" s="1" t="n">
        <v>45828</v>
      </c>
      <c r="D1668" t="inlineStr">
        <is>
          <t>JÖNKÖPINGS LÄN</t>
        </is>
      </c>
      <c r="E1668" t="inlineStr">
        <is>
          <t>GNOSJÖ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13347-2020</t>
        </is>
      </c>
      <c r="B1669" s="1" t="n">
        <v>43902</v>
      </c>
      <c r="C1669" s="1" t="n">
        <v>45828</v>
      </c>
      <c r="D1669" t="inlineStr">
        <is>
          <t>JÖNKÖPINGS LÄN</t>
        </is>
      </c>
      <c r="E1669" t="inlineStr">
        <is>
          <t>TRANÅS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13360-2020</t>
        </is>
      </c>
      <c r="B1670" s="1" t="n">
        <v>43902</v>
      </c>
      <c r="C1670" s="1" t="n">
        <v>45828</v>
      </c>
      <c r="D1670" t="inlineStr">
        <is>
          <t>JÖNKÖPINGS LÄN</t>
        </is>
      </c>
      <c r="E1670" t="inlineStr">
        <is>
          <t>TRANÅS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13372-2020</t>
        </is>
      </c>
      <c r="B1671" s="1" t="n">
        <v>43902</v>
      </c>
      <c r="C1671" s="1" t="n">
        <v>45828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13457-2020</t>
        </is>
      </c>
      <c r="B1672" s="1" t="n">
        <v>43902</v>
      </c>
      <c r="C1672" s="1" t="n">
        <v>45828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13377-2020</t>
        </is>
      </c>
      <c r="B1673" s="1" t="n">
        <v>43902</v>
      </c>
      <c r="C1673" s="1" t="n">
        <v>45828</v>
      </c>
      <c r="D1673" t="inlineStr">
        <is>
          <t>JÖNKÖPINGS LÄN</t>
        </is>
      </c>
      <c r="E1673" t="inlineStr">
        <is>
          <t>JÖNKÖPING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HYPERLINK("https://klasma.github.io/Logging_0680/knärot/A 13377-2020 karta knärot.png", "A 13377-2020")</f>
        <v/>
      </c>
      <c r="V1673">
        <f>HYPERLINK("https://klasma.github.io/Logging_0680/klagomål/A 13377-2020 FSC-klagomål.docx", "A 13377-2020")</f>
        <v/>
      </c>
      <c r="W1673">
        <f>HYPERLINK("https://klasma.github.io/Logging_0680/klagomålsmail/A 13377-2020 FSC-klagomål mail.docx", "A 13377-2020")</f>
        <v/>
      </c>
      <c r="X1673">
        <f>HYPERLINK("https://klasma.github.io/Logging_0680/tillsyn/A 13377-2020 tillsynsbegäran.docx", "A 13377-2020")</f>
        <v/>
      </c>
      <c r="Y1673">
        <f>HYPERLINK("https://klasma.github.io/Logging_0680/tillsynsmail/A 13377-2020 tillsynsbegäran mail.docx", "A 13377-2020")</f>
        <v/>
      </c>
    </row>
    <row r="1674" ht="15" customHeight="1">
      <c r="A1674" t="inlineStr">
        <is>
          <t>A 13439-2020</t>
        </is>
      </c>
      <c r="B1674" s="1" t="n">
        <v>43902</v>
      </c>
      <c r="C1674" s="1" t="n">
        <v>45828</v>
      </c>
      <c r="D1674" t="inlineStr">
        <is>
          <t>JÖNKÖPINGS LÄN</t>
        </is>
      </c>
      <c r="E1674" t="inlineStr">
        <is>
          <t>GISLAVED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13370-2020</t>
        </is>
      </c>
      <c r="B1675" s="1" t="n">
        <v>43902</v>
      </c>
      <c r="C1675" s="1" t="n">
        <v>45828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13485-2020</t>
        </is>
      </c>
      <c r="B1676" s="1" t="n">
        <v>43902</v>
      </c>
      <c r="C1676" s="1" t="n">
        <v>45828</v>
      </c>
      <c r="D1676" t="inlineStr">
        <is>
          <t>JÖNKÖPINGS LÄN</t>
        </is>
      </c>
      <c r="E1676" t="inlineStr">
        <is>
          <t>GISLAVED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14647-2020</t>
        </is>
      </c>
      <c r="B1677" s="1" t="n">
        <v>43902</v>
      </c>
      <c r="C1677" s="1" t="n">
        <v>45828</v>
      </c>
      <c r="D1677" t="inlineStr">
        <is>
          <t>JÖNKÖPINGS LÄN</t>
        </is>
      </c>
      <c r="E1677" t="inlineStr">
        <is>
          <t>VAGGERYD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13780-2020</t>
        </is>
      </c>
      <c r="B1678" s="1" t="n">
        <v>43903</v>
      </c>
      <c r="C1678" s="1" t="n">
        <v>45828</v>
      </c>
      <c r="D1678" t="inlineStr">
        <is>
          <t>JÖNKÖPINGS LÄN</t>
        </is>
      </c>
      <c r="E1678" t="inlineStr">
        <is>
          <t>EKSJÖ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15291-2020</t>
        </is>
      </c>
      <c r="B1679" s="1" t="n">
        <v>43903</v>
      </c>
      <c r="C1679" s="1" t="n">
        <v>45828</v>
      </c>
      <c r="D1679" t="inlineStr">
        <is>
          <t>JÖNKÖPINGS LÄN</t>
        </is>
      </c>
      <c r="E1679" t="inlineStr">
        <is>
          <t>VÄRNAMO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14707-2020</t>
        </is>
      </c>
      <c r="B1680" s="1" t="n">
        <v>43903</v>
      </c>
      <c r="C1680" s="1" t="n">
        <v>45828</v>
      </c>
      <c r="D1680" t="inlineStr">
        <is>
          <t>JÖNKÖPINGS LÄN</t>
        </is>
      </c>
      <c r="E1680" t="inlineStr">
        <is>
          <t>GISLAVED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13982-2020</t>
        </is>
      </c>
      <c r="B1681" s="1" t="n">
        <v>43906</v>
      </c>
      <c r="C1681" s="1" t="n">
        <v>45828</v>
      </c>
      <c r="D1681" t="inlineStr">
        <is>
          <t>JÖNKÖPINGS LÄN</t>
        </is>
      </c>
      <c r="E1681" t="inlineStr">
        <is>
          <t>GNOSJÖ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13877-2020</t>
        </is>
      </c>
      <c r="B1682" s="1" t="n">
        <v>43906</v>
      </c>
      <c r="C1682" s="1" t="n">
        <v>45828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14076-2020</t>
        </is>
      </c>
      <c r="B1683" s="1" t="n">
        <v>43907</v>
      </c>
      <c r="C1683" s="1" t="n">
        <v>45828</v>
      </c>
      <c r="D1683" t="inlineStr">
        <is>
          <t>JÖNKÖPINGS LÄN</t>
        </is>
      </c>
      <c r="E1683" t="inlineStr">
        <is>
          <t>VÄRNAMO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14249-2020</t>
        </is>
      </c>
      <c r="B1684" s="1" t="n">
        <v>43907</v>
      </c>
      <c r="C1684" s="1" t="n">
        <v>45828</v>
      </c>
      <c r="D1684" t="inlineStr">
        <is>
          <t>JÖNKÖPINGS LÄN</t>
        </is>
      </c>
      <c r="E1684" t="inlineStr">
        <is>
          <t>VETLANDA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14310-2020</t>
        </is>
      </c>
      <c r="B1685" s="1" t="n">
        <v>43907</v>
      </c>
      <c r="C1685" s="1" t="n">
        <v>45828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14431-2020</t>
        </is>
      </c>
      <c r="B1686" s="1" t="n">
        <v>43908</v>
      </c>
      <c r="C1686" s="1" t="n">
        <v>45828</v>
      </c>
      <c r="D1686" t="inlineStr">
        <is>
          <t>JÖNKÖPINGS LÄN</t>
        </is>
      </c>
      <c r="E1686" t="inlineStr">
        <is>
          <t>JÖNKÖPING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14432-2020</t>
        </is>
      </c>
      <c r="B1687" s="1" t="n">
        <v>43908</v>
      </c>
      <c r="C1687" s="1" t="n">
        <v>45828</v>
      </c>
      <c r="D1687" t="inlineStr">
        <is>
          <t>JÖNKÖPINGS LÄN</t>
        </is>
      </c>
      <c r="E1687" t="inlineStr">
        <is>
          <t>JÖNKÖPING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16733-2020</t>
        </is>
      </c>
      <c r="B1688" s="1" t="n">
        <v>43908</v>
      </c>
      <c r="C1688" s="1" t="n">
        <v>45828</v>
      </c>
      <c r="D1688" t="inlineStr">
        <is>
          <t>JÖNKÖPINGS LÄN</t>
        </is>
      </c>
      <c r="E1688" t="inlineStr">
        <is>
          <t>GISLAVED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14773-2020</t>
        </is>
      </c>
      <c r="B1689" s="1" t="n">
        <v>43909</v>
      </c>
      <c r="C1689" s="1" t="n">
        <v>45828</v>
      </c>
      <c r="D1689" t="inlineStr">
        <is>
          <t>JÖNKÖPINGS LÄN</t>
        </is>
      </c>
      <c r="E1689" t="inlineStr">
        <is>
          <t>GISLAVED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15097-2020</t>
        </is>
      </c>
      <c r="B1690" s="1" t="n">
        <v>43909</v>
      </c>
      <c r="C1690" s="1" t="n">
        <v>45828</v>
      </c>
      <c r="D1690" t="inlineStr">
        <is>
          <t>JÖNKÖPINGS LÄN</t>
        </is>
      </c>
      <c r="E1690" t="inlineStr">
        <is>
          <t>GISLAVED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16627-2020</t>
        </is>
      </c>
      <c r="B1691" s="1" t="n">
        <v>43909</v>
      </c>
      <c r="C1691" s="1" t="n">
        <v>45828</v>
      </c>
      <c r="D1691" t="inlineStr">
        <is>
          <t>JÖNKÖPINGS LÄN</t>
        </is>
      </c>
      <c r="E1691" t="inlineStr">
        <is>
          <t>JÖNKÖPING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16629-2020</t>
        </is>
      </c>
      <c r="B1692" s="1" t="n">
        <v>43909</v>
      </c>
      <c r="C1692" s="1" t="n">
        <v>45828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16634-2020</t>
        </is>
      </c>
      <c r="B1693" s="1" t="n">
        <v>43909</v>
      </c>
      <c r="C1693" s="1" t="n">
        <v>45828</v>
      </c>
      <c r="D1693" t="inlineStr">
        <is>
          <t>JÖNKÖPINGS LÄN</t>
        </is>
      </c>
      <c r="E1693" t="inlineStr">
        <is>
          <t>JÖNKÖPING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15060-2020</t>
        </is>
      </c>
      <c r="B1694" s="1" t="n">
        <v>43910</v>
      </c>
      <c r="C1694" s="1" t="n">
        <v>45828</v>
      </c>
      <c r="D1694" t="inlineStr">
        <is>
          <t>JÖNKÖPINGS LÄN</t>
        </is>
      </c>
      <c r="E1694" t="inlineStr">
        <is>
          <t>EKSJÖ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14905-2020</t>
        </is>
      </c>
      <c r="B1695" s="1" t="n">
        <v>43910</v>
      </c>
      <c r="C1695" s="1" t="n">
        <v>45828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16567-2020</t>
        </is>
      </c>
      <c r="B1696" s="1" t="n">
        <v>43910</v>
      </c>
      <c r="C1696" s="1" t="n">
        <v>45828</v>
      </c>
      <c r="D1696" t="inlineStr">
        <is>
          <t>JÖNKÖPINGS LÄN</t>
        </is>
      </c>
      <c r="E1696" t="inlineStr">
        <is>
          <t>GISLAVED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15156-2020</t>
        </is>
      </c>
      <c r="B1697" s="1" t="n">
        <v>43912</v>
      </c>
      <c r="C1697" s="1" t="n">
        <v>45828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15243-2020</t>
        </is>
      </c>
      <c r="B1698" s="1" t="n">
        <v>43913</v>
      </c>
      <c r="C1698" s="1" t="n">
        <v>45828</v>
      </c>
      <c r="D1698" t="inlineStr">
        <is>
          <t>JÖNKÖPINGS LÄN</t>
        </is>
      </c>
      <c r="E1698" t="inlineStr">
        <is>
          <t>GNOSJÖ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15200-2020</t>
        </is>
      </c>
      <c r="B1699" s="1" t="n">
        <v>43913</v>
      </c>
      <c r="C1699" s="1" t="n">
        <v>45828</v>
      </c>
      <c r="D1699" t="inlineStr">
        <is>
          <t>JÖNKÖPINGS LÄN</t>
        </is>
      </c>
      <c r="E1699" t="inlineStr">
        <is>
          <t>NÄSSJÖ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15379-2020</t>
        </is>
      </c>
      <c r="B1700" s="1" t="n">
        <v>43913</v>
      </c>
      <c r="C1700" s="1" t="n">
        <v>45828</v>
      </c>
      <c r="D1700" t="inlineStr">
        <is>
          <t>JÖNKÖPINGS LÄN</t>
        </is>
      </c>
      <c r="E1700" t="inlineStr">
        <is>
          <t>VÄRNAMO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16972-2020</t>
        </is>
      </c>
      <c r="B1701" s="1" t="n">
        <v>43913</v>
      </c>
      <c r="C1701" s="1" t="n">
        <v>45828</v>
      </c>
      <c r="D1701" t="inlineStr">
        <is>
          <t>JÖNKÖPINGS LÄN</t>
        </is>
      </c>
      <c r="E1701" t="inlineStr">
        <is>
          <t>VETLANDA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16919-2020</t>
        </is>
      </c>
      <c r="B1702" s="1" t="n">
        <v>43913</v>
      </c>
      <c r="C1702" s="1" t="n">
        <v>45828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16958-2020</t>
        </is>
      </c>
      <c r="B1703" s="1" t="n">
        <v>43913</v>
      </c>
      <c r="C1703" s="1" t="n">
        <v>45828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16973-2020</t>
        </is>
      </c>
      <c r="B1704" s="1" t="n">
        <v>43913</v>
      </c>
      <c r="C1704" s="1" t="n">
        <v>45828</v>
      </c>
      <c r="D1704" t="inlineStr">
        <is>
          <t>JÖNKÖPINGS LÄN</t>
        </is>
      </c>
      <c r="E1704" t="inlineStr">
        <is>
          <t>VETLANDA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16816-2020</t>
        </is>
      </c>
      <c r="B1705" s="1" t="n">
        <v>43913</v>
      </c>
      <c r="C1705" s="1" t="n">
        <v>45828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16965-2020</t>
        </is>
      </c>
      <c r="B1706" s="1" t="n">
        <v>43913</v>
      </c>
      <c r="C1706" s="1" t="n">
        <v>45828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16928-2020</t>
        </is>
      </c>
      <c r="B1707" s="1" t="n">
        <v>43913</v>
      </c>
      <c r="C1707" s="1" t="n">
        <v>45828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15508-2020</t>
        </is>
      </c>
      <c r="B1708" s="1" t="n">
        <v>43914</v>
      </c>
      <c r="C1708" s="1" t="n">
        <v>45828</v>
      </c>
      <c r="D1708" t="inlineStr">
        <is>
          <t>JÖNKÖPINGS LÄN</t>
        </is>
      </c>
      <c r="E1708" t="inlineStr">
        <is>
          <t>VAGGERYD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15459-2020</t>
        </is>
      </c>
      <c r="B1709" s="1" t="n">
        <v>43914</v>
      </c>
      <c r="C1709" s="1" t="n">
        <v>45828</v>
      </c>
      <c r="D1709" t="inlineStr">
        <is>
          <t>JÖNKÖPINGS LÄN</t>
        </is>
      </c>
      <c r="E1709" t="inlineStr">
        <is>
          <t>ANEBY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15507-2020</t>
        </is>
      </c>
      <c r="B1710" s="1" t="n">
        <v>43914</v>
      </c>
      <c r="C1710" s="1" t="n">
        <v>45828</v>
      </c>
      <c r="D1710" t="inlineStr">
        <is>
          <t>JÖNKÖPINGS LÄN</t>
        </is>
      </c>
      <c r="E1710" t="inlineStr">
        <is>
          <t>JÖNKÖPING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16061-2020</t>
        </is>
      </c>
      <c r="B1711" s="1" t="n">
        <v>43914</v>
      </c>
      <c r="C1711" s="1" t="n">
        <v>45828</v>
      </c>
      <c r="D1711" t="inlineStr">
        <is>
          <t>JÖNKÖPINGS LÄN</t>
        </is>
      </c>
      <c r="E1711" t="inlineStr">
        <is>
          <t>VÄRNAMO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15757-2020</t>
        </is>
      </c>
      <c r="B1712" s="1" t="n">
        <v>43915</v>
      </c>
      <c r="C1712" s="1" t="n">
        <v>45828</v>
      </c>
      <c r="D1712" t="inlineStr">
        <is>
          <t>JÖNKÖPINGS LÄN</t>
        </is>
      </c>
      <c r="E1712" t="inlineStr">
        <is>
          <t>EKSJÖ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HYPERLINK("https://klasma.github.io/Logging_0686/knärot/A 15757-2020 karta knärot.png", "A 15757-2020")</f>
        <v/>
      </c>
      <c r="V1712">
        <f>HYPERLINK("https://klasma.github.io/Logging_0686/klagomål/A 15757-2020 FSC-klagomål.docx", "A 15757-2020")</f>
        <v/>
      </c>
      <c r="W1712">
        <f>HYPERLINK("https://klasma.github.io/Logging_0686/klagomålsmail/A 15757-2020 FSC-klagomål mail.docx", "A 15757-2020")</f>
        <v/>
      </c>
      <c r="X1712">
        <f>HYPERLINK("https://klasma.github.io/Logging_0686/tillsyn/A 15757-2020 tillsynsbegäran.docx", "A 15757-2020")</f>
        <v/>
      </c>
      <c r="Y1712">
        <f>HYPERLINK("https://klasma.github.io/Logging_0686/tillsynsmail/A 15757-2020 tillsynsbegäran mail.docx", "A 15757-2020")</f>
        <v/>
      </c>
    </row>
    <row r="1713" ht="15" customHeight="1">
      <c r="A1713" t="inlineStr">
        <is>
          <t>A 15968-2020</t>
        </is>
      </c>
      <c r="B1713" s="1" t="n">
        <v>43916</v>
      </c>
      <c r="C1713" s="1" t="n">
        <v>45828</v>
      </c>
      <c r="D1713" t="inlineStr">
        <is>
          <t>JÖNKÖPINGS LÄN</t>
        </is>
      </c>
      <c r="E1713" t="inlineStr">
        <is>
          <t>JÖNKÖPING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16052-2020</t>
        </is>
      </c>
      <c r="B1714" s="1" t="n">
        <v>43916</v>
      </c>
      <c r="C1714" s="1" t="n">
        <v>45828</v>
      </c>
      <c r="D1714" t="inlineStr">
        <is>
          <t>JÖNKÖPINGS LÄN</t>
        </is>
      </c>
      <c r="E1714" t="inlineStr">
        <is>
          <t>EKSJÖ</t>
        </is>
      </c>
      <c r="F1714" t="inlineStr">
        <is>
          <t>Kommuner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16059-2020</t>
        </is>
      </c>
      <c r="B1715" s="1" t="n">
        <v>43916</v>
      </c>
      <c r="C1715" s="1" t="n">
        <v>45828</v>
      </c>
      <c r="D1715" t="inlineStr">
        <is>
          <t>JÖNKÖPINGS LÄN</t>
        </is>
      </c>
      <c r="E1715" t="inlineStr">
        <is>
          <t>VÄRNAMO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15961-2020</t>
        </is>
      </c>
      <c r="B1716" s="1" t="n">
        <v>43916</v>
      </c>
      <c r="C1716" s="1" t="n">
        <v>45828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15977-2020</t>
        </is>
      </c>
      <c r="B1717" s="1" t="n">
        <v>43916</v>
      </c>
      <c r="C1717" s="1" t="n">
        <v>45828</v>
      </c>
      <c r="D1717" t="inlineStr">
        <is>
          <t>JÖNKÖPINGS LÄN</t>
        </is>
      </c>
      <c r="E1717" t="inlineStr">
        <is>
          <t>JÖNKÖPING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16055-2020</t>
        </is>
      </c>
      <c r="B1718" s="1" t="n">
        <v>43916</v>
      </c>
      <c r="C1718" s="1" t="n">
        <v>45828</v>
      </c>
      <c r="D1718" t="inlineStr">
        <is>
          <t>JÖNKÖPINGS LÄN</t>
        </is>
      </c>
      <c r="E1718" t="inlineStr">
        <is>
          <t>VÄRNAMO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16057-2020</t>
        </is>
      </c>
      <c r="B1719" s="1" t="n">
        <v>43916</v>
      </c>
      <c r="C1719" s="1" t="n">
        <v>45828</v>
      </c>
      <c r="D1719" t="inlineStr">
        <is>
          <t>JÖNKÖPINGS LÄN</t>
        </is>
      </c>
      <c r="E1719" t="inlineStr">
        <is>
          <t>VÄRNAMO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16213-2020</t>
        </is>
      </c>
      <c r="B1720" s="1" t="n">
        <v>43917</v>
      </c>
      <c r="C1720" s="1" t="n">
        <v>45828</v>
      </c>
      <c r="D1720" t="inlineStr">
        <is>
          <t>JÖNKÖPINGS LÄN</t>
        </is>
      </c>
      <c r="E1720" t="inlineStr">
        <is>
          <t>GNOSJÖ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16210-2020</t>
        </is>
      </c>
      <c r="B1721" s="1" t="n">
        <v>43917</v>
      </c>
      <c r="C1721" s="1" t="n">
        <v>45828</v>
      </c>
      <c r="D1721" t="inlineStr">
        <is>
          <t>JÖNKÖPINGS LÄN</t>
        </is>
      </c>
      <c r="E1721" t="inlineStr">
        <is>
          <t>EKSJÖ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16370-2020</t>
        </is>
      </c>
      <c r="B1722" s="1" t="n">
        <v>43917</v>
      </c>
      <c r="C1722" s="1" t="n">
        <v>45828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Sveaskog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16254-2020</t>
        </is>
      </c>
      <c r="B1723" s="1" t="n">
        <v>43917</v>
      </c>
      <c r="C1723" s="1" t="n">
        <v>45828</v>
      </c>
      <c r="D1723" t="inlineStr">
        <is>
          <t>JÖNKÖPINGS LÄN</t>
        </is>
      </c>
      <c r="E1723" t="inlineStr">
        <is>
          <t>SÄVSJÖ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16434-2020</t>
        </is>
      </c>
      <c r="B1724" s="1" t="n">
        <v>43919</v>
      </c>
      <c r="C1724" s="1" t="n">
        <v>45828</v>
      </c>
      <c r="D1724" t="inlineStr">
        <is>
          <t>JÖNKÖPINGS LÄN</t>
        </is>
      </c>
      <c r="E1724" t="inlineStr">
        <is>
          <t>VETLANDA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16433-2020</t>
        </is>
      </c>
      <c r="B1725" s="1" t="n">
        <v>43919</v>
      </c>
      <c r="C1725" s="1" t="n">
        <v>45828</v>
      </c>
      <c r="D1725" t="inlineStr">
        <is>
          <t>JÖNKÖPINGS LÄN</t>
        </is>
      </c>
      <c r="E1725" t="inlineStr">
        <is>
          <t>VETLANDA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16569-2020</t>
        </is>
      </c>
      <c r="B1726" s="1" t="n">
        <v>43920</v>
      </c>
      <c r="C1726" s="1" t="n">
        <v>45828</v>
      </c>
      <c r="D1726" t="inlineStr">
        <is>
          <t>JÖNKÖPINGS LÄN</t>
        </is>
      </c>
      <c r="E1726" t="inlineStr">
        <is>
          <t>JÖNKÖPING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16763-2020</t>
        </is>
      </c>
      <c r="B1727" s="1" t="n">
        <v>43920</v>
      </c>
      <c r="C1727" s="1" t="n">
        <v>45828</v>
      </c>
      <c r="D1727" t="inlineStr">
        <is>
          <t>JÖNKÖPINGS LÄN</t>
        </is>
      </c>
      <c r="E1727" t="inlineStr">
        <is>
          <t>VAGGERYD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16449-2020</t>
        </is>
      </c>
      <c r="B1728" s="1" t="n">
        <v>43920</v>
      </c>
      <c r="C1728" s="1" t="n">
        <v>45828</v>
      </c>
      <c r="D1728" t="inlineStr">
        <is>
          <t>JÖNKÖPINGS LÄN</t>
        </is>
      </c>
      <c r="E1728" t="inlineStr">
        <is>
          <t>VETLANDA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16764-2020</t>
        </is>
      </c>
      <c r="B1729" s="1" t="n">
        <v>43920</v>
      </c>
      <c r="C1729" s="1" t="n">
        <v>45828</v>
      </c>
      <c r="D1729" t="inlineStr">
        <is>
          <t>JÖNKÖPINGS LÄN</t>
        </is>
      </c>
      <c r="E1729" t="inlineStr">
        <is>
          <t>VAGGERYD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17142-2020</t>
        </is>
      </c>
      <c r="B1730" s="1" t="n">
        <v>43922</v>
      </c>
      <c r="C1730" s="1" t="n">
        <v>45828</v>
      </c>
      <c r="D1730" t="inlineStr">
        <is>
          <t>JÖNKÖPINGS LÄN</t>
        </is>
      </c>
      <c r="E1730" t="inlineStr">
        <is>
          <t>GISLAVED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17478-2020</t>
        </is>
      </c>
      <c r="B1731" s="1" t="n">
        <v>43923</v>
      </c>
      <c r="C1731" s="1" t="n">
        <v>45828</v>
      </c>
      <c r="D1731" t="inlineStr">
        <is>
          <t>JÖNKÖPINGS LÄN</t>
        </is>
      </c>
      <c r="E1731" t="inlineStr">
        <is>
          <t>NÄSSJÖ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17654-2020</t>
        </is>
      </c>
      <c r="B1732" s="1" t="n">
        <v>43923</v>
      </c>
      <c r="C1732" s="1" t="n">
        <v>45828</v>
      </c>
      <c r="D1732" t="inlineStr">
        <is>
          <t>JÖNKÖPINGS LÄN</t>
        </is>
      </c>
      <c r="E1732" t="inlineStr">
        <is>
          <t>JÖNKÖPING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17477-2020</t>
        </is>
      </c>
      <c r="B1733" s="1" t="n">
        <v>43923</v>
      </c>
      <c r="C1733" s="1" t="n">
        <v>45828</v>
      </c>
      <c r="D1733" t="inlineStr">
        <is>
          <t>JÖNKÖPINGS LÄN</t>
        </is>
      </c>
      <c r="E1733" t="inlineStr">
        <is>
          <t>NÄSSJÖ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17644-2020</t>
        </is>
      </c>
      <c r="B1734" s="1" t="n">
        <v>43923</v>
      </c>
      <c r="C1734" s="1" t="n">
        <v>45828</v>
      </c>
      <c r="D1734" t="inlineStr">
        <is>
          <t>JÖNKÖPINGS LÄN</t>
        </is>
      </c>
      <c r="E1734" t="inlineStr">
        <is>
          <t>JÖNKÖPING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17633-2020</t>
        </is>
      </c>
      <c r="B1735" s="1" t="n">
        <v>43923</v>
      </c>
      <c r="C1735" s="1" t="n">
        <v>45828</v>
      </c>
      <c r="D1735" t="inlineStr">
        <is>
          <t>JÖNKÖPINGS LÄN</t>
        </is>
      </c>
      <c r="E1735" t="inlineStr">
        <is>
          <t>GISLAVED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17651-2020</t>
        </is>
      </c>
      <c r="B1736" s="1" t="n">
        <v>43923</v>
      </c>
      <c r="C1736" s="1" t="n">
        <v>45828</v>
      </c>
      <c r="D1736" t="inlineStr">
        <is>
          <t>JÖNKÖPINGS LÄN</t>
        </is>
      </c>
      <c r="E1736" t="inlineStr">
        <is>
          <t>JÖNKÖPING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17649-2020</t>
        </is>
      </c>
      <c r="B1737" s="1" t="n">
        <v>43923</v>
      </c>
      <c r="C1737" s="1" t="n">
        <v>45828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17655-2020</t>
        </is>
      </c>
      <c r="B1738" s="1" t="n">
        <v>43923</v>
      </c>
      <c r="C1738" s="1" t="n">
        <v>45828</v>
      </c>
      <c r="D1738" t="inlineStr">
        <is>
          <t>JÖNKÖPINGS LÄN</t>
        </is>
      </c>
      <c r="E1738" t="inlineStr">
        <is>
          <t>JÖNKÖPING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17765-2020</t>
        </is>
      </c>
      <c r="B1739" s="1" t="n">
        <v>43923</v>
      </c>
      <c r="C1739" s="1" t="n">
        <v>45828</v>
      </c>
      <c r="D1739" t="inlineStr">
        <is>
          <t>JÖNKÖPINGS LÄN</t>
        </is>
      </c>
      <c r="E1739" t="inlineStr">
        <is>
          <t>NÄSSJÖ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17785-2020</t>
        </is>
      </c>
      <c r="B1740" s="1" t="n">
        <v>43924</v>
      </c>
      <c r="C1740" s="1" t="n">
        <v>45828</v>
      </c>
      <c r="D1740" t="inlineStr">
        <is>
          <t>JÖNKÖPINGS LÄN</t>
        </is>
      </c>
      <c r="E1740" t="inlineStr">
        <is>
          <t>VETLANDA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17802-2020</t>
        </is>
      </c>
      <c r="B1741" s="1" t="n">
        <v>43924</v>
      </c>
      <c r="C1741" s="1" t="n">
        <v>45828</v>
      </c>
      <c r="D1741" t="inlineStr">
        <is>
          <t>JÖNKÖPINGS LÄN</t>
        </is>
      </c>
      <c r="E1741" t="inlineStr">
        <is>
          <t>TRANÅS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17790-2020</t>
        </is>
      </c>
      <c r="B1742" s="1" t="n">
        <v>43924</v>
      </c>
      <c r="C1742" s="1" t="n">
        <v>45828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17912-2020</t>
        </is>
      </c>
      <c r="B1743" s="1" t="n">
        <v>43924</v>
      </c>
      <c r="C1743" s="1" t="n">
        <v>45828</v>
      </c>
      <c r="D1743" t="inlineStr">
        <is>
          <t>JÖNKÖPINGS LÄN</t>
        </is>
      </c>
      <c r="E1743" t="inlineStr">
        <is>
          <t>JÖNKÖPING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18127-2020</t>
        </is>
      </c>
      <c r="B1744" s="1" t="n">
        <v>43927</v>
      </c>
      <c r="C1744" s="1" t="n">
        <v>45828</v>
      </c>
      <c r="D1744" t="inlineStr">
        <is>
          <t>JÖNKÖPINGS LÄN</t>
        </is>
      </c>
      <c r="E1744" t="inlineStr">
        <is>
          <t>VETLANDA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18386-2020</t>
        </is>
      </c>
      <c r="B1745" s="1" t="n">
        <v>43928</v>
      </c>
      <c r="C1745" s="1" t="n">
        <v>45828</v>
      </c>
      <c r="D1745" t="inlineStr">
        <is>
          <t>JÖNKÖPINGS LÄN</t>
        </is>
      </c>
      <c r="E1745" t="inlineStr">
        <is>
          <t>VÄRNAMO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18578-2020</t>
        </is>
      </c>
      <c r="B1746" s="1" t="n">
        <v>43929</v>
      </c>
      <c r="C1746" s="1" t="n">
        <v>45828</v>
      </c>
      <c r="D1746" t="inlineStr">
        <is>
          <t>JÖNKÖPINGS LÄN</t>
        </is>
      </c>
      <c r="E1746" t="inlineStr">
        <is>
          <t>SÄVSJÖ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18702-2020</t>
        </is>
      </c>
      <c r="B1747" s="1" t="n">
        <v>43930</v>
      </c>
      <c r="C1747" s="1" t="n">
        <v>45828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18843-2020</t>
        </is>
      </c>
      <c r="B1748" s="1" t="n">
        <v>43935</v>
      </c>
      <c r="C1748" s="1" t="n">
        <v>45828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18922-2020</t>
        </is>
      </c>
      <c r="B1749" s="1" t="n">
        <v>43935</v>
      </c>
      <c r="C1749" s="1" t="n">
        <v>45828</v>
      </c>
      <c r="D1749" t="inlineStr">
        <is>
          <t>JÖNKÖPINGS LÄN</t>
        </is>
      </c>
      <c r="E1749" t="inlineStr">
        <is>
          <t>JÖNKÖPING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18845-2020</t>
        </is>
      </c>
      <c r="B1750" s="1" t="n">
        <v>43935</v>
      </c>
      <c r="C1750" s="1" t="n">
        <v>45828</v>
      </c>
      <c r="D1750" t="inlineStr">
        <is>
          <t>JÖNKÖPINGS LÄN</t>
        </is>
      </c>
      <c r="E1750" t="inlineStr">
        <is>
          <t>VAGGERYD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19072-2020</t>
        </is>
      </c>
      <c r="B1751" s="1" t="n">
        <v>43936</v>
      </c>
      <c r="C1751" s="1" t="n">
        <v>45828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19618-2020</t>
        </is>
      </c>
      <c r="B1752" s="1" t="n">
        <v>43936</v>
      </c>
      <c r="C1752" s="1" t="n">
        <v>45828</v>
      </c>
      <c r="D1752" t="inlineStr">
        <is>
          <t>JÖNKÖPINGS LÄN</t>
        </is>
      </c>
      <c r="E1752" t="inlineStr">
        <is>
          <t>EKSJÖ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19253-2020</t>
        </is>
      </c>
      <c r="B1753" s="1" t="n">
        <v>43937</v>
      </c>
      <c r="C1753" s="1" t="n">
        <v>45828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19246-2020</t>
        </is>
      </c>
      <c r="B1754" s="1" t="n">
        <v>43937</v>
      </c>
      <c r="C1754" s="1" t="n">
        <v>45828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19255-2020</t>
        </is>
      </c>
      <c r="B1755" s="1" t="n">
        <v>43937</v>
      </c>
      <c r="C1755" s="1" t="n">
        <v>45828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19250-2020</t>
        </is>
      </c>
      <c r="B1756" s="1" t="n">
        <v>43937</v>
      </c>
      <c r="C1756" s="1" t="n">
        <v>45828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19658-2020</t>
        </is>
      </c>
      <c r="B1757" s="1" t="n">
        <v>43937</v>
      </c>
      <c r="C1757" s="1" t="n">
        <v>45828</v>
      </c>
      <c r="D1757" t="inlineStr">
        <is>
          <t>JÖNKÖPINGS LÄN</t>
        </is>
      </c>
      <c r="E1757" t="inlineStr">
        <is>
          <t>ANEBY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19356-2020</t>
        </is>
      </c>
      <c r="B1758" s="1" t="n">
        <v>43938</v>
      </c>
      <c r="C1758" s="1" t="n">
        <v>45828</v>
      </c>
      <c r="D1758" t="inlineStr">
        <is>
          <t>JÖNKÖPINGS LÄN</t>
        </is>
      </c>
      <c r="E1758" t="inlineStr">
        <is>
          <t>ANEBY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19360-2020</t>
        </is>
      </c>
      <c r="B1759" s="1" t="n">
        <v>43938</v>
      </c>
      <c r="C1759" s="1" t="n">
        <v>45828</v>
      </c>
      <c r="D1759" t="inlineStr">
        <is>
          <t>JÖNKÖPINGS LÄN</t>
        </is>
      </c>
      <c r="E1759" t="inlineStr">
        <is>
          <t>ANEBY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19371-2020</t>
        </is>
      </c>
      <c r="B1760" s="1" t="n">
        <v>43938</v>
      </c>
      <c r="C1760" s="1" t="n">
        <v>45828</v>
      </c>
      <c r="D1760" t="inlineStr">
        <is>
          <t>JÖNKÖPINGS LÄN</t>
        </is>
      </c>
      <c r="E1760" t="inlineStr">
        <is>
          <t>JÖNKÖPING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19351-2020</t>
        </is>
      </c>
      <c r="B1761" s="1" t="n">
        <v>43938</v>
      </c>
      <c r="C1761" s="1" t="n">
        <v>45828</v>
      </c>
      <c r="D1761" t="inlineStr">
        <is>
          <t>JÖNKÖPINGS LÄN</t>
        </is>
      </c>
      <c r="E1761" t="inlineStr">
        <is>
          <t>ANEBY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19358-2020</t>
        </is>
      </c>
      <c r="B1762" s="1" t="n">
        <v>43938</v>
      </c>
      <c r="C1762" s="1" t="n">
        <v>45828</v>
      </c>
      <c r="D1762" t="inlineStr">
        <is>
          <t>JÖNKÖPINGS LÄN</t>
        </is>
      </c>
      <c r="E1762" t="inlineStr">
        <is>
          <t>ANEBY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19536-2020</t>
        </is>
      </c>
      <c r="B1763" s="1" t="n">
        <v>43941</v>
      </c>
      <c r="C1763" s="1" t="n">
        <v>45828</v>
      </c>
      <c r="D1763" t="inlineStr">
        <is>
          <t>JÖNKÖPINGS LÄN</t>
        </is>
      </c>
      <c r="E1763" t="inlineStr">
        <is>
          <t>JÖNKÖPING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19549-2020</t>
        </is>
      </c>
      <c r="B1764" s="1" t="n">
        <v>43941</v>
      </c>
      <c r="C1764" s="1" t="n">
        <v>45828</v>
      </c>
      <c r="D1764" t="inlineStr">
        <is>
          <t>JÖNKÖPINGS LÄN</t>
        </is>
      </c>
      <c r="E1764" t="inlineStr">
        <is>
          <t>VÄRNAMO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19956-2020</t>
        </is>
      </c>
      <c r="B1765" s="1" t="n">
        <v>43943</v>
      </c>
      <c r="C1765" s="1" t="n">
        <v>45828</v>
      </c>
      <c r="D1765" t="inlineStr">
        <is>
          <t>JÖNKÖPINGS LÄN</t>
        </is>
      </c>
      <c r="E1765" t="inlineStr">
        <is>
          <t>HABO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19942-2020</t>
        </is>
      </c>
      <c r="B1766" s="1" t="n">
        <v>43943</v>
      </c>
      <c r="C1766" s="1" t="n">
        <v>45828</v>
      </c>
      <c r="D1766" t="inlineStr">
        <is>
          <t>JÖNKÖPINGS LÄN</t>
        </is>
      </c>
      <c r="E1766" t="inlineStr">
        <is>
          <t>VÄRNAMO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19951-2020</t>
        </is>
      </c>
      <c r="B1767" s="1" t="n">
        <v>43943</v>
      </c>
      <c r="C1767" s="1" t="n">
        <v>45828</v>
      </c>
      <c r="D1767" t="inlineStr">
        <is>
          <t>JÖNKÖPINGS LÄN</t>
        </is>
      </c>
      <c r="E1767" t="inlineStr">
        <is>
          <t>NÄSSJÖ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19988-2020</t>
        </is>
      </c>
      <c r="B1768" s="1" t="n">
        <v>43943</v>
      </c>
      <c r="C1768" s="1" t="n">
        <v>45828</v>
      </c>
      <c r="D1768" t="inlineStr">
        <is>
          <t>JÖNKÖPINGS LÄN</t>
        </is>
      </c>
      <c r="E1768" t="inlineStr">
        <is>
          <t>JÖNKÖPING</t>
        </is>
      </c>
      <c r="F1768" t="inlineStr">
        <is>
          <t>Övriga Aktiebolag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19945-2020</t>
        </is>
      </c>
      <c r="B1769" s="1" t="n">
        <v>43943</v>
      </c>
      <c r="C1769" s="1" t="n">
        <v>45828</v>
      </c>
      <c r="D1769" t="inlineStr">
        <is>
          <t>JÖNKÖPINGS LÄN</t>
        </is>
      </c>
      <c r="E1769" t="inlineStr">
        <is>
          <t>GISLAVED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20047-2020</t>
        </is>
      </c>
      <c r="B1770" s="1" t="n">
        <v>43943</v>
      </c>
      <c r="C1770" s="1" t="n">
        <v>45828</v>
      </c>
      <c r="D1770" t="inlineStr">
        <is>
          <t>JÖNKÖPINGS LÄN</t>
        </is>
      </c>
      <c r="E1770" t="inlineStr">
        <is>
          <t>EKSJÖ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20021-2020</t>
        </is>
      </c>
      <c r="B1771" s="1" t="n">
        <v>43943</v>
      </c>
      <c r="C1771" s="1" t="n">
        <v>45828</v>
      </c>
      <c r="D1771" t="inlineStr">
        <is>
          <t>JÖNKÖPINGS LÄN</t>
        </is>
      </c>
      <c r="E1771" t="inlineStr">
        <is>
          <t>GISLAVED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20328-2020</t>
        </is>
      </c>
      <c r="B1772" s="1" t="n">
        <v>43945</v>
      </c>
      <c r="C1772" s="1" t="n">
        <v>45828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20255-2020</t>
        </is>
      </c>
      <c r="B1773" s="1" t="n">
        <v>43945</v>
      </c>
      <c r="C1773" s="1" t="n">
        <v>45828</v>
      </c>
      <c r="D1773" t="inlineStr">
        <is>
          <t>JÖNKÖPINGS LÄN</t>
        </is>
      </c>
      <c r="E1773" t="inlineStr">
        <is>
          <t>EKSJÖ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20322-2020</t>
        </is>
      </c>
      <c r="B1774" s="1" t="n">
        <v>43945</v>
      </c>
      <c r="C1774" s="1" t="n">
        <v>45828</v>
      </c>
      <c r="D1774" t="inlineStr">
        <is>
          <t>JÖNKÖPINGS LÄN</t>
        </is>
      </c>
      <c r="E1774" t="inlineStr">
        <is>
          <t>EKSJÖ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20880-2020</t>
        </is>
      </c>
      <c r="B1775" s="1" t="n">
        <v>43945</v>
      </c>
      <c r="C1775" s="1" t="n">
        <v>45828</v>
      </c>
      <c r="D1775" t="inlineStr">
        <is>
          <t>JÖNKÖPINGS LÄN</t>
        </is>
      </c>
      <c r="E1775" t="inlineStr">
        <is>
          <t>NÄSSJÖ</t>
        </is>
      </c>
      <c r="F1775" t="inlineStr">
        <is>
          <t>Övriga Aktiebolag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20485-2020</t>
        </is>
      </c>
      <c r="B1776" s="1" t="n">
        <v>43948</v>
      </c>
      <c r="C1776" s="1" t="n">
        <v>45828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20581-2020</t>
        </is>
      </c>
      <c r="B1777" s="1" t="n">
        <v>43948</v>
      </c>
      <c r="C1777" s="1" t="n">
        <v>45828</v>
      </c>
      <c r="D1777" t="inlineStr">
        <is>
          <t>JÖNKÖPINGS LÄN</t>
        </is>
      </c>
      <c r="E1777" t="inlineStr">
        <is>
          <t>ANEBY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20612-2020</t>
        </is>
      </c>
      <c r="B1778" s="1" t="n">
        <v>43948</v>
      </c>
      <c r="C1778" s="1" t="n">
        <v>45828</v>
      </c>
      <c r="D1778" t="inlineStr">
        <is>
          <t>JÖNKÖPINGS LÄN</t>
        </is>
      </c>
      <c r="E1778" t="inlineStr">
        <is>
          <t>EKSJÖ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20611-2020</t>
        </is>
      </c>
      <c r="B1779" s="1" t="n">
        <v>43948</v>
      </c>
      <c r="C1779" s="1" t="n">
        <v>45828</v>
      </c>
      <c r="D1779" t="inlineStr">
        <is>
          <t>JÖNKÖPINGS LÄN</t>
        </is>
      </c>
      <c r="E1779" t="inlineStr">
        <is>
          <t>EKSJÖ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20711-2020</t>
        </is>
      </c>
      <c r="B1780" s="1" t="n">
        <v>43948</v>
      </c>
      <c r="C1780" s="1" t="n">
        <v>45828</v>
      </c>
      <c r="D1780" t="inlineStr">
        <is>
          <t>JÖNKÖPINGS LÄN</t>
        </is>
      </c>
      <c r="E1780" t="inlineStr">
        <is>
          <t>ANEBY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20614-2020</t>
        </is>
      </c>
      <c r="B1781" s="1" t="n">
        <v>43948</v>
      </c>
      <c r="C1781" s="1" t="n">
        <v>45828</v>
      </c>
      <c r="D1781" t="inlineStr">
        <is>
          <t>JÖNKÖPINGS LÄN</t>
        </is>
      </c>
      <c r="E1781" t="inlineStr">
        <is>
          <t>EKSJÖ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20742-2020</t>
        </is>
      </c>
      <c r="B1782" s="1" t="n">
        <v>43949</v>
      </c>
      <c r="C1782" s="1" t="n">
        <v>45828</v>
      </c>
      <c r="D1782" t="inlineStr">
        <is>
          <t>JÖNKÖPINGS LÄN</t>
        </is>
      </c>
      <c r="E1782" t="inlineStr">
        <is>
          <t>JÖNKÖPING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20762-2020</t>
        </is>
      </c>
      <c r="B1783" s="1" t="n">
        <v>43949</v>
      </c>
      <c r="C1783" s="1" t="n">
        <v>45828</v>
      </c>
      <c r="D1783" t="inlineStr">
        <is>
          <t>JÖNKÖPINGS LÄN</t>
        </is>
      </c>
      <c r="E1783" t="inlineStr">
        <is>
          <t>TRANÅS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20629-2020</t>
        </is>
      </c>
      <c r="B1784" s="1" t="n">
        <v>43949</v>
      </c>
      <c r="C1784" s="1" t="n">
        <v>45828</v>
      </c>
      <c r="D1784" t="inlineStr">
        <is>
          <t>JÖNKÖPINGS LÄN</t>
        </is>
      </c>
      <c r="E1784" t="inlineStr">
        <is>
          <t>GISLAVED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20763-2020</t>
        </is>
      </c>
      <c r="B1785" s="1" t="n">
        <v>43949</v>
      </c>
      <c r="C1785" s="1" t="n">
        <v>45828</v>
      </c>
      <c r="D1785" t="inlineStr">
        <is>
          <t>JÖNKÖPINGS LÄN</t>
        </is>
      </c>
      <c r="E1785" t="inlineStr">
        <is>
          <t>TRANÅS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20761-2020</t>
        </is>
      </c>
      <c r="B1786" s="1" t="n">
        <v>43949</v>
      </c>
      <c r="C1786" s="1" t="n">
        <v>45828</v>
      </c>
      <c r="D1786" t="inlineStr">
        <is>
          <t>JÖNKÖPINGS LÄN</t>
        </is>
      </c>
      <c r="E1786" t="inlineStr">
        <is>
          <t>TRANÅS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20628-2020</t>
        </is>
      </c>
      <c r="B1787" s="1" t="n">
        <v>43949</v>
      </c>
      <c r="C1787" s="1" t="n">
        <v>45828</v>
      </c>
      <c r="D1787" t="inlineStr">
        <is>
          <t>JÖNKÖPINGS LÄN</t>
        </is>
      </c>
      <c r="E1787" t="inlineStr">
        <is>
          <t>GISLAVED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20835-2020</t>
        </is>
      </c>
      <c r="B1788" s="1" t="n">
        <v>43950</v>
      </c>
      <c r="C1788" s="1" t="n">
        <v>45828</v>
      </c>
      <c r="D1788" t="inlineStr">
        <is>
          <t>JÖNKÖPINGS LÄN</t>
        </is>
      </c>
      <c r="E1788" t="inlineStr">
        <is>
          <t>EKSJÖ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20830-2020</t>
        </is>
      </c>
      <c r="B1789" s="1" t="n">
        <v>43950</v>
      </c>
      <c r="C1789" s="1" t="n">
        <v>45828</v>
      </c>
      <c r="D1789" t="inlineStr">
        <is>
          <t>JÖNKÖPINGS LÄN</t>
        </is>
      </c>
      <c r="E1789" t="inlineStr">
        <is>
          <t>EKSJÖ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20827-2020</t>
        </is>
      </c>
      <c r="B1790" s="1" t="n">
        <v>43950</v>
      </c>
      <c r="C1790" s="1" t="n">
        <v>45828</v>
      </c>
      <c r="D1790" t="inlineStr">
        <is>
          <t>JÖNKÖPINGS LÄN</t>
        </is>
      </c>
      <c r="E1790" t="inlineStr">
        <is>
          <t>EKSJÖ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20952-2020</t>
        </is>
      </c>
      <c r="B1791" s="1" t="n">
        <v>43950</v>
      </c>
      <c r="C1791" s="1" t="n">
        <v>45828</v>
      </c>
      <c r="D1791" t="inlineStr">
        <is>
          <t>JÖNKÖPINGS LÄN</t>
        </is>
      </c>
      <c r="E1791" t="inlineStr">
        <is>
          <t>VÄRNAMO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21082-2020</t>
        </is>
      </c>
      <c r="B1792" s="1" t="n">
        <v>43951</v>
      </c>
      <c r="C1792" s="1" t="n">
        <v>45828</v>
      </c>
      <c r="D1792" t="inlineStr">
        <is>
          <t>JÖNKÖPINGS LÄN</t>
        </is>
      </c>
      <c r="E1792" t="inlineStr">
        <is>
          <t>JÖNKÖPING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21157-2020</t>
        </is>
      </c>
      <c r="B1793" s="1" t="n">
        <v>43951</v>
      </c>
      <c r="C1793" s="1" t="n">
        <v>45828</v>
      </c>
      <c r="D1793" t="inlineStr">
        <is>
          <t>JÖNKÖPINGS LÄN</t>
        </is>
      </c>
      <c r="E1793" t="inlineStr">
        <is>
          <t>VETLANDA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21289-2020</t>
        </is>
      </c>
      <c r="B1794" s="1" t="n">
        <v>43955</v>
      </c>
      <c r="C1794" s="1" t="n">
        <v>45828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21380-2020</t>
        </is>
      </c>
      <c r="B1795" s="1" t="n">
        <v>43955</v>
      </c>
      <c r="C1795" s="1" t="n">
        <v>45828</v>
      </c>
      <c r="D1795" t="inlineStr">
        <is>
          <t>JÖNKÖPINGS LÄN</t>
        </is>
      </c>
      <c r="E1795" t="inlineStr">
        <is>
          <t>EKSJÖ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21332-2020</t>
        </is>
      </c>
      <c r="B1796" s="1" t="n">
        <v>43955</v>
      </c>
      <c r="C1796" s="1" t="n">
        <v>45828</v>
      </c>
      <c r="D1796" t="inlineStr">
        <is>
          <t>JÖNKÖPINGS LÄN</t>
        </is>
      </c>
      <c r="E1796" t="inlineStr">
        <is>
          <t>JÖNKÖPING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21264-2020</t>
        </is>
      </c>
      <c r="B1797" s="1" t="n">
        <v>43955</v>
      </c>
      <c r="C1797" s="1" t="n">
        <v>45828</v>
      </c>
      <c r="D1797" t="inlineStr">
        <is>
          <t>JÖNKÖPINGS LÄN</t>
        </is>
      </c>
      <c r="E1797" t="inlineStr">
        <is>
          <t>GISLAVED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21558-2020</t>
        </is>
      </c>
      <c r="B1798" s="1" t="n">
        <v>43956</v>
      </c>
      <c r="C1798" s="1" t="n">
        <v>45828</v>
      </c>
      <c r="D1798" t="inlineStr">
        <is>
          <t>JÖNKÖPINGS LÄN</t>
        </is>
      </c>
      <c r="E1798" t="inlineStr">
        <is>
          <t>VÄRNAMO</t>
        </is>
      </c>
      <c r="G1798" t="n">
        <v>7.3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22239-2020</t>
        </is>
      </c>
      <c r="B1799" s="1" t="n">
        <v>43956</v>
      </c>
      <c r="C1799" s="1" t="n">
        <v>45828</v>
      </c>
      <c r="D1799" t="inlineStr">
        <is>
          <t>JÖNKÖPINGS LÄN</t>
        </is>
      </c>
      <c r="E1799" t="inlineStr">
        <is>
          <t>VETLANDA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21619-2020</t>
        </is>
      </c>
      <c r="B1800" s="1" t="n">
        <v>43957</v>
      </c>
      <c r="C1800" s="1" t="n">
        <v>45828</v>
      </c>
      <c r="D1800" t="inlineStr">
        <is>
          <t>JÖNKÖPINGS LÄN</t>
        </is>
      </c>
      <c r="E1800" t="inlineStr">
        <is>
          <t>GNOSJÖ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21717-2020</t>
        </is>
      </c>
      <c r="B1801" s="1" t="n">
        <v>43957</v>
      </c>
      <c r="C1801" s="1" t="n">
        <v>45828</v>
      </c>
      <c r="D1801" t="inlineStr">
        <is>
          <t>JÖNKÖPINGS LÄN</t>
        </is>
      </c>
      <c r="E1801" t="inlineStr">
        <is>
          <t>VAGGERYD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21716-2020</t>
        </is>
      </c>
      <c r="B1802" s="1" t="n">
        <v>43957</v>
      </c>
      <c r="C1802" s="1" t="n">
        <v>45828</v>
      </c>
      <c r="D1802" t="inlineStr">
        <is>
          <t>JÖNKÖPINGS LÄN</t>
        </is>
      </c>
      <c r="E1802" t="inlineStr">
        <is>
          <t>VAGGERYD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21715-2020</t>
        </is>
      </c>
      <c r="B1803" s="1" t="n">
        <v>43957</v>
      </c>
      <c r="C1803" s="1" t="n">
        <v>45828</v>
      </c>
      <c r="D1803" t="inlineStr">
        <is>
          <t>JÖNKÖPINGS LÄN</t>
        </is>
      </c>
      <c r="E1803" t="inlineStr">
        <is>
          <t>VAGGERYD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21721-2020</t>
        </is>
      </c>
      <c r="B1804" s="1" t="n">
        <v>43957</v>
      </c>
      <c r="C1804" s="1" t="n">
        <v>45828</v>
      </c>
      <c r="D1804" t="inlineStr">
        <is>
          <t>JÖNKÖPINGS LÄN</t>
        </is>
      </c>
      <c r="E1804" t="inlineStr">
        <is>
          <t>VAGGERYD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22252-2020</t>
        </is>
      </c>
      <c r="B1805" s="1" t="n">
        <v>43957</v>
      </c>
      <c r="C1805" s="1" t="n">
        <v>45828</v>
      </c>
      <c r="D1805" t="inlineStr">
        <is>
          <t>JÖNKÖPINGS LÄN</t>
        </is>
      </c>
      <c r="E1805" t="inlineStr">
        <is>
          <t>NÄSSJÖ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21907-2020</t>
        </is>
      </c>
      <c r="B1806" s="1" t="n">
        <v>43958</v>
      </c>
      <c r="C1806" s="1" t="n">
        <v>45828</v>
      </c>
      <c r="D1806" t="inlineStr">
        <is>
          <t>JÖNKÖPINGS LÄN</t>
        </is>
      </c>
      <c r="E1806" t="inlineStr">
        <is>
          <t>VETLANDA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21959-2020</t>
        </is>
      </c>
      <c r="B1807" s="1" t="n">
        <v>43958</v>
      </c>
      <c r="C1807" s="1" t="n">
        <v>45828</v>
      </c>
      <c r="D1807" t="inlineStr">
        <is>
          <t>JÖNKÖPINGS LÄN</t>
        </is>
      </c>
      <c r="E1807" t="inlineStr">
        <is>
          <t>JÖNKÖPING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21889-2020</t>
        </is>
      </c>
      <c r="B1808" s="1" t="n">
        <v>43958</v>
      </c>
      <c r="C1808" s="1" t="n">
        <v>45828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21956-2020</t>
        </is>
      </c>
      <c r="B1809" s="1" t="n">
        <v>43958</v>
      </c>
      <c r="C1809" s="1" t="n">
        <v>45828</v>
      </c>
      <c r="D1809" t="inlineStr">
        <is>
          <t>JÖNKÖPINGS LÄN</t>
        </is>
      </c>
      <c r="E1809" t="inlineStr">
        <is>
          <t>JÖNKÖPING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21958-2020</t>
        </is>
      </c>
      <c r="B1810" s="1" t="n">
        <v>43958</v>
      </c>
      <c r="C1810" s="1" t="n">
        <v>45828</v>
      </c>
      <c r="D1810" t="inlineStr">
        <is>
          <t>JÖNKÖPINGS LÄN</t>
        </is>
      </c>
      <c r="E1810" t="inlineStr">
        <is>
          <t>JÖNKÖPING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21957-2020</t>
        </is>
      </c>
      <c r="B1811" s="1" t="n">
        <v>43958</v>
      </c>
      <c r="C1811" s="1" t="n">
        <v>45828</v>
      </c>
      <c r="D1811" t="inlineStr">
        <is>
          <t>JÖNKÖPINGS LÄN</t>
        </is>
      </c>
      <c r="E1811" t="inlineStr">
        <is>
          <t>JÖNKÖPING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22360-2020</t>
        </is>
      </c>
      <c r="B1812" s="1" t="n">
        <v>43962</v>
      </c>
      <c r="C1812" s="1" t="n">
        <v>45828</v>
      </c>
      <c r="D1812" t="inlineStr">
        <is>
          <t>JÖNKÖPINGS LÄN</t>
        </is>
      </c>
      <c r="E1812" t="inlineStr">
        <is>
          <t>JÖNKÖPING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22469-2020</t>
        </is>
      </c>
      <c r="B1813" s="1" t="n">
        <v>43962</v>
      </c>
      <c r="C1813" s="1" t="n">
        <v>45828</v>
      </c>
      <c r="D1813" t="inlineStr">
        <is>
          <t>JÖNKÖPINGS LÄN</t>
        </is>
      </c>
      <c r="E1813" t="inlineStr">
        <is>
          <t>VÄRNAMO</t>
        </is>
      </c>
      <c r="G1813" t="n">
        <v>12.4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22598-2020</t>
        </is>
      </c>
      <c r="B1814" s="1" t="n">
        <v>43963</v>
      </c>
      <c r="C1814" s="1" t="n">
        <v>45828</v>
      </c>
      <c r="D1814" t="inlineStr">
        <is>
          <t>JÖNKÖPINGS LÄN</t>
        </is>
      </c>
      <c r="E1814" t="inlineStr">
        <is>
          <t>NÄSSJÖ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22635-2020</t>
        </is>
      </c>
      <c r="B1815" s="1" t="n">
        <v>43963</v>
      </c>
      <c r="C1815" s="1" t="n">
        <v>45828</v>
      </c>
      <c r="D1815" t="inlineStr">
        <is>
          <t>JÖNKÖPINGS LÄN</t>
        </is>
      </c>
      <c r="E1815" t="inlineStr">
        <is>
          <t>JÖNKÖPING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22597-2020</t>
        </is>
      </c>
      <c r="B1816" s="1" t="n">
        <v>43963</v>
      </c>
      <c r="C1816" s="1" t="n">
        <v>45828</v>
      </c>
      <c r="D1816" t="inlineStr">
        <is>
          <t>JÖNKÖPINGS LÄN</t>
        </is>
      </c>
      <c r="E1816" t="inlineStr">
        <is>
          <t>VÄRNAMO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22593-2020</t>
        </is>
      </c>
      <c r="B1817" s="1" t="n">
        <v>43963</v>
      </c>
      <c r="C1817" s="1" t="n">
        <v>45828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23236-2020</t>
        </is>
      </c>
      <c r="B1818" s="1" t="n">
        <v>43966</v>
      </c>
      <c r="C1818" s="1" t="n">
        <v>45828</v>
      </c>
      <c r="D1818" t="inlineStr">
        <is>
          <t>JÖNKÖPINGS LÄN</t>
        </is>
      </c>
      <c r="E1818" t="inlineStr">
        <is>
          <t>GISLAVED</t>
        </is>
      </c>
      <c r="G1818" t="n">
        <v>17.9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23328-2020</t>
        </is>
      </c>
      <c r="B1819" s="1" t="n">
        <v>43966</v>
      </c>
      <c r="C1819" s="1" t="n">
        <v>45828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23322-2020</t>
        </is>
      </c>
      <c r="B1820" s="1" t="n">
        <v>43966</v>
      </c>
      <c r="C1820" s="1" t="n">
        <v>45828</v>
      </c>
      <c r="D1820" t="inlineStr">
        <is>
          <t>JÖNKÖPINGS LÄN</t>
        </is>
      </c>
      <c r="E1820" t="inlineStr">
        <is>
          <t>EKSJÖ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23609-2020</t>
        </is>
      </c>
      <c r="B1821" s="1" t="n">
        <v>43969</v>
      </c>
      <c r="C1821" s="1" t="n">
        <v>45828</v>
      </c>
      <c r="D1821" t="inlineStr">
        <is>
          <t>JÖNKÖPINGS LÄN</t>
        </is>
      </c>
      <c r="E1821" t="inlineStr">
        <is>
          <t>GISLAVED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23584-2020</t>
        </is>
      </c>
      <c r="B1822" s="1" t="n">
        <v>43969</v>
      </c>
      <c r="C1822" s="1" t="n">
        <v>45828</v>
      </c>
      <c r="D1822" t="inlineStr">
        <is>
          <t>JÖNKÖPINGS LÄN</t>
        </is>
      </c>
      <c r="E1822" t="inlineStr">
        <is>
          <t>ANEBY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23732-2020</t>
        </is>
      </c>
      <c r="B1823" s="1" t="n">
        <v>43970</v>
      </c>
      <c r="C1823" s="1" t="n">
        <v>45828</v>
      </c>
      <c r="D1823" t="inlineStr">
        <is>
          <t>JÖNKÖPINGS LÄN</t>
        </is>
      </c>
      <c r="E1823" t="inlineStr">
        <is>
          <t>NÄSSJÖ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24381-2020</t>
        </is>
      </c>
      <c r="B1824" s="1" t="n">
        <v>43970</v>
      </c>
      <c r="C1824" s="1" t="n">
        <v>45828</v>
      </c>
      <c r="D1824" t="inlineStr">
        <is>
          <t>JÖNKÖPINGS LÄN</t>
        </is>
      </c>
      <c r="E1824" t="inlineStr">
        <is>
          <t>NÄSSJÖ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23790-2020</t>
        </is>
      </c>
      <c r="B1825" s="1" t="n">
        <v>43970</v>
      </c>
      <c r="C1825" s="1" t="n">
        <v>45828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23878-2020</t>
        </is>
      </c>
      <c r="B1826" s="1" t="n">
        <v>43971</v>
      </c>
      <c r="C1826" s="1" t="n">
        <v>45828</v>
      </c>
      <c r="D1826" t="inlineStr">
        <is>
          <t>JÖNKÖPINGS LÄN</t>
        </is>
      </c>
      <c r="E1826" t="inlineStr">
        <is>
          <t>EKSJÖ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24161-2020</t>
        </is>
      </c>
      <c r="B1827" s="1" t="n">
        <v>43974</v>
      </c>
      <c r="C1827" s="1" t="n">
        <v>45828</v>
      </c>
      <c r="D1827" t="inlineStr">
        <is>
          <t>JÖNKÖPINGS LÄN</t>
        </is>
      </c>
      <c r="E1827" t="inlineStr">
        <is>
          <t>GISLAVED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24160-2020</t>
        </is>
      </c>
      <c r="B1828" s="1" t="n">
        <v>43974</v>
      </c>
      <c r="C1828" s="1" t="n">
        <v>45828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24175-2020</t>
        </is>
      </c>
      <c r="B1829" s="1" t="n">
        <v>43975</v>
      </c>
      <c r="C1829" s="1" t="n">
        <v>45828</v>
      </c>
      <c r="D1829" t="inlineStr">
        <is>
          <t>JÖNKÖPINGS LÄN</t>
        </is>
      </c>
      <c r="E1829" t="inlineStr">
        <is>
          <t>GISLAVED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24174-2020</t>
        </is>
      </c>
      <c r="B1830" s="1" t="n">
        <v>43975</v>
      </c>
      <c r="C1830" s="1" t="n">
        <v>45828</v>
      </c>
      <c r="D1830" t="inlineStr">
        <is>
          <t>JÖNKÖPINGS LÄN</t>
        </is>
      </c>
      <c r="E1830" t="inlineStr">
        <is>
          <t>NÄSSJÖ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24345-2020</t>
        </is>
      </c>
      <c r="B1831" s="1" t="n">
        <v>43976</v>
      </c>
      <c r="C1831" s="1" t="n">
        <v>45828</v>
      </c>
      <c r="D1831" t="inlineStr">
        <is>
          <t>JÖNKÖPINGS LÄN</t>
        </is>
      </c>
      <c r="E1831" t="inlineStr">
        <is>
          <t>NÄSSJÖ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24352-2020</t>
        </is>
      </c>
      <c r="B1832" s="1" t="n">
        <v>43976</v>
      </c>
      <c r="C1832" s="1" t="n">
        <v>45828</v>
      </c>
      <c r="D1832" t="inlineStr">
        <is>
          <t>JÖNKÖPINGS LÄN</t>
        </is>
      </c>
      <c r="E1832" t="inlineStr">
        <is>
          <t>NÄSSJÖ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24776-2020</t>
        </is>
      </c>
      <c r="B1833" s="1" t="n">
        <v>43978</v>
      </c>
      <c r="C1833" s="1" t="n">
        <v>45828</v>
      </c>
      <c r="D1833" t="inlineStr">
        <is>
          <t>JÖNKÖPINGS LÄN</t>
        </is>
      </c>
      <c r="E1833" t="inlineStr">
        <is>
          <t>VÄRNAMO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24783-2020</t>
        </is>
      </c>
      <c r="B1834" s="1" t="n">
        <v>43978</v>
      </c>
      <c r="C1834" s="1" t="n">
        <v>45828</v>
      </c>
      <c r="D1834" t="inlineStr">
        <is>
          <t>JÖNKÖPINGS LÄN</t>
        </is>
      </c>
      <c r="E1834" t="inlineStr">
        <is>
          <t>VETLANDA</t>
        </is>
      </c>
      <c r="G1834" t="n">
        <v>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24989-2020</t>
        </is>
      </c>
      <c r="B1835" s="1" t="n">
        <v>43979</v>
      </c>
      <c r="C1835" s="1" t="n">
        <v>45828</v>
      </c>
      <c r="D1835" t="inlineStr">
        <is>
          <t>JÖNKÖPINGS LÄN</t>
        </is>
      </c>
      <c r="E1835" t="inlineStr">
        <is>
          <t>ANEBY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25267-2020</t>
        </is>
      </c>
      <c r="B1836" s="1" t="n">
        <v>43979</v>
      </c>
      <c r="C1836" s="1" t="n">
        <v>45828</v>
      </c>
      <c r="D1836" t="inlineStr">
        <is>
          <t>JÖNKÖPINGS LÄN</t>
        </is>
      </c>
      <c r="E1836" t="inlineStr">
        <is>
          <t>ANEBY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25271-2020</t>
        </is>
      </c>
      <c r="B1837" s="1" t="n">
        <v>43980</v>
      </c>
      <c r="C1837" s="1" t="n">
        <v>45828</v>
      </c>
      <c r="D1837" t="inlineStr">
        <is>
          <t>JÖNKÖPINGS LÄN</t>
        </is>
      </c>
      <c r="E1837" t="inlineStr">
        <is>
          <t>EKSJÖ</t>
        </is>
      </c>
      <c r="F1837" t="inlineStr">
        <is>
          <t>Övriga Aktiebolag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25559-2020</t>
        </is>
      </c>
      <c r="B1838" s="1" t="n">
        <v>43980</v>
      </c>
      <c r="C1838" s="1" t="n">
        <v>45828</v>
      </c>
      <c r="D1838" t="inlineStr">
        <is>
          <t>JÖNKÖPINGS LÄN</t>
        </is>
      </c>
      <c r="E1838" t="inlineStr">
        <is>
          <t>JÖNKÖPING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25366-2020</t>
        </is>
      </c>
      <c r="B1839" s="1" t="n">
        <v>43980</v>
      </c>
      <c r="C1839" s="1" t="n">
        <v>45828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25556-2020</t>
        </is>
      </c>
      <c r="B1840" s="1" t="n">
        <v>43980</v>
      </c>
      <c r="C1840" s="1" t="n">
        <v>45828</v>
      </c>
      <c r="D1840" t="inlineStr">
        <is>
          <t>JÖNKÖPINGS LÄN</t>
        </is>
      </c>
      <c r="E1840" t="inlineStr">
        <is>
          <t>JÖNKÖPING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25569-2020</t>
        </is>
      </c>
      <c r="B1841" s="1" t="n">
        <v>43983</v>
      </c>
      <c r="C1841" s="1" t="n">
        <v>45828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25694-2020</t>
        </is>
      </c>
      <c r="B1842" s="1" t="n">
        <v>43984</v>
      </c>
      <c r="C1842" s="1" t="n">
        <v>45828</v>
      </c>
      <c r="D1842" t="inlineStr">
        <is>
          <t>JÖNKÖPINGS LÄN</t>
        </is>
      </c>
      <c r="E1842" t="inlineStr">
        <is>
          <t>VAGGERYD</t>
        </is>
      </c>
      <c r="F1842" t="inlineStr">
        <is>
          <t>Övriga statliga verk och myndigheter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25762-2020</t>
        </is>
      </c>
      <c r="B1843" s="1" t="n">
        <v>43984</v>
      </c>
      <c r="C1843" s="1" t="n">
        <v>45828</v>
      </c>
      <c r="D1843" t="inlineStr">
        <is>
          <t>JÖNKÖPINGS LÄN</t>
        </is>
      </c>
      <c r="E1843" t="inlineStr">
        <is>
          <t>EKSJÖ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25799-2020</t>
        </is>
      </c>
      <c r="B1844" s="1" t="n">
        <v>43984</v>
      </c>
      <c r="C1844" s="1" t="n">
        <v>45828</v>
      </c>
      <c r="D1844" t="inlineStr">
        <is>
          <t>JÖNKÖPINGS LÄN</t>
        </is>
      </c>
      <c r="E1844" t="inlineStr">
        <is>
          <t>VAGGERYD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25691-2020</t>
        </is>
      </c>
      <c r="B1845" s="1" t="n">
        <v>43984</v>
      </c>
      <c r="C1845" s="1" t="n">
        <v>45828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25774-2020</t>
        </is>
      </c>
      <c r="B1846" s="1" t="n">
        <v>43984</v>
      </c>
      <c r="C1846" s="1" t="n">
        <v>45828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25851-2020</t>
        </is>
      </c>
      <c r="B1847" s="1" t="n">
        <v>43984</v>
      </c>
      <c r="C1847" s="1" t="n">
        <v>45828</v>
      </c>
      <c r="D1847" t="inlineStr">
        <is>
          <t>JÖNKÖPINGS LÄN</t>
        </is>
      </c>
      <c r="E1847" t="inlineStr">
        <is>
          <t>ANEBY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25792-2020</t>
        </is>
      </c>
      <c r="B1848" s="1" t="n">
        <v>43984</v>
      </c>
      <c r="C1848" s="1" t="n">
        <v>45828</v>
      </c>
      <c r="D1848" t="inlineStr">
        <is>
          <t>JÖNKÖPINGS LÄN</t>
        </is>
      </c>
      <c r="E1848" t="inlineStr">
        <is>
          <t>TRANÅS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25950-2020</t>
        </is>
      </c>
      <c r="B1849" s="1" t="n">
        <v>43985</v>
      </c>
      <c r="C1849" s="1" t="n">
        <v>45828</v>
      </c>
      <c r="D1849" t="inlineStr">
        <is>
          <t>JÖNKÖPINGS LÄN</t>
        </is>
      </c>
      <c r="E1849" t="inlineStr">
        <is>
          <t>ANEBY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25964-2020</t>
        </is>
      </c>
      <c r="B1850" s="1" t="n">
        <v>43985</v>
      </c>
      <c r="C1850" s="1" t="n">
        <v>45828</v>
      </c>
      <c r="D1850" t="inlineStr">
        <is>
          <t>JÖNKÖPINGS LÄN</t>
        </is>
      </c>
      <c r="E1850" t="inlineStr">
        <is>
          <t>VAGGERYD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26059-2020</t>
        </is>
      </c>
      <c r="B1851" s="1" t="n">
        <v>43985</v>
      </c>
      <c r="C1851" s="1" t="n">
        <v>45828</v>
      </c>
      <c r="D1851" t="inlineStr">
        <is>
          <t>JÖNKÖPINGS LÄN</t>
        </is>
      </c>
      <c r="E1851" t="inlineStr">
        <is>
          <t>JÖNKÖPING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26091-2020</t>
        </is>
      </c>
      <c r="B1852" s="1" t="n">
        <v>43985</v>
      </c>
      <c r="C1852" s="1" t="n">
        <v>45828</v>
      </c>
      <c r="D1852" t="inlineStr">
        <is>
          <t>JÖNKÖPINGS LÄN</t>
        </is>
      </c>
      <c r="E1852" t="inlineStr">
        <is>
          <t>VAGGERYD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25947-2020</t>
        </is>
      </c>
      <c r="B1853" s="1" t="n">
        <v>43985</v>
      </c>
      <c r="C1853" s="1" t="n">
        <v>45828</v>
      </c>
      <c r="D1853" t="inlineStr">
        <is>
          <t>JÖNKÖPINGS LÄN</t>
        </is>
      </c>
      <c r="E1853" t="inlineStr">
        <is>
          <t>ANEBY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26040-2020</t>
        </is>
      </c>
      <c r="B1854" s="1" t="n">
        <v>43985</v>
      </c>
      <c r="C1854" s="1" t="n">
        <v>45828</v>
      </c>
      <c r="D1854" t="inlineStr">
        <is>
          <t>JÖNKÖPINGS LÄN</t>
        </is>
      </c>
      <c r="E1854" t="inlineStr">
        <is>
          <t>VAGGERYD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26328-2020</t>
        </is>
      </c>
      <c r="B1855" s="1" t="n">
        <v>43986</v>
      </c>
      <c r="C1855" s="1" t="n">
        <v>45828</v>
      </c>
      <c r="D1855" t="inlineStr">
        <is>
          <t>JÖNKÖPINGS LÄN</t>
        </is>
      </c>
      <c r="E1855" t="inlineStr">
        <is>
          <t>EKSJÖ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26464-2020</t>
        </is>
      </c>
      <c r="B1856" s="1" t="n">
        <v>43987</v>
      </c>
      <c r="C1856" s="1" t="n">
        <v>45828</v>
      </c>
      <c r="D1856" t="inlineStr">
        <is>
          <t>JÖNKÖPINGS LÄN</t>
        </is>
      </c>
      <c r="E1856" t="inlineStr">
        <is>
          <t>SÄVSJÖ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26415-2020</t>
        </is>
      </c>
      <c r="B1857" s="1" t="n">
        <v>43987</v>
      </c>
      <c r="C1857" s="1" t="n">
        <v>45828</v>
      </c>
      <c r="D1857" t="inlineStr">
        <is>
          <t>JÖNKÖPINGS LÄN</t>
        </is>
      </c>
      <c r="E1857" t="inlineStr">
        <is>
          <t>VÄRNAMO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26414-2020</t>
        </is>
      </c>
      <c r="B1858" s="1" t="n">
        <v>43987</v>
      </c>
      <c r="C1858" s="1" t="n">
        <v>45828</v>
      </c>
      <c r="D1858" t="inlineStr">
        <is>
          <t>JÖNKÖPINGS LÄN</t>
        </is>
      </c>
      <c r="E1858" t="inlineStr">
        <is>
          <t>VÄRNAMO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26660-2020</t>
        </is>
      </c>
      <c r="B1859" s="1" t="n">
        <v>43989</v>
      </c>
      <c r="C1859" s="1" t="n">
        <v>45828</v>
      </c>
      <c r="D1859" t="inlineStr">
        <is>
          <t>JÖNKÖPINGS LÄN</t>
        </is>
      </c>
      <c r="E1859" t="inlineStr">
        <is>
          <t>GISLAVED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26734-2020</t>
        </is>
      </c>
      <c r="B1860" s="1" t="n">
        <v>43990</v>
      </c>
      <c r="C1860" s="1" t="n">
        <v>45828</v>
      </c>
      <c r="D1860" t="inlineStr">
        <is>
          <t>JÖNKÖPINGS LÄN</t>
        </is>
      </c>
      <c r="E1860" t="inlineStr">
        <is>
          <t>SÄVSJÖ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26717-2020</t>
        </is>
      </c>
      <c r="B1861" s="1" t="n">
        <v>43990</v>
      </c>
      <c r="C1861" s="1" t="n">
        <v>45828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27158-2020</t>
        </is>
      </c>
      <c r="B1862" s="1" t="n">
        <v>43991</v>
      </c>
      <c r="C1862" s="1" t="n">
        <v>45828</v>
      </c>
      <c r="D1862" t="inlineStr">
        <is>
          <t>JÖNKÖPINGS LÄN</t>
        </is>
      </c>
      <c r="E1862" t="inlineStr">
        <is>
          <t>NÄSSJÖ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27480-2020</t>
        </is>
      </c>
      <c r="B1863" s="1" t="n">
        <v>43993</v>
      </c>
      <c r="C1863" s="1" t="n">
        <v>45828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27503-2020</t>
        </is>
      </c>
      <c r="B1864" s="1" t="n">
        <v>43993</v>
      </c>
      <c r="C1864" s="1" t="n">
        <v>45828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27708-2020</t>
        </is>
      </c>
      <c r="B1865" s="1" t="n">
        <v>43993</v>
      </c>
      <c r="C1865" s="1" t="n">
        <v>45828</v>
      </c>
      <c r="D1865" t="inlineStr">
        <is>
          <t>JÖNKÖPINGS LÄN</t>
        </is>
      </c>
      <c r="E1865" t="inlineStr">
        <is>
          <t>TRANÅS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27455-2020</t>
        </is>
      </c>
      <c r="B1866" s="1" t="n">
        <v>43993</v>
      </c>
      <c r="C1866" s="1" t="n">
        <v>45828</v>
      </c>
      <c r="D1866" t="inlineStr">
        <is>
          <t>JÖNKÖPINGS LÄN</t>
        </is>
      </c>
      <c r="E1866" t="inlineStr">
        <is>
          <t>NÄSSJÖ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27791-2020</t>
        </is>
      </c>
      <c r="B1867" s="1" t="n">
        <v>43994</v>
      </c>
      <c r="C1867" s="1" t="n">
        <v>45828</v>
      </c>
      <c r="D1867" t="inlineStr">
        <is>
          <t>JÖNKÖPINGS LÄN</t>
        </is>
      </c>
      <c r="E1867" t="inlineStr">
        <is>
          <t>TRANÅS</t>
        </is>
      </c>
      <c r="F1867" t="inlineStr">
        <is>
          <t>Kommuner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27846-2020</t>
        </is>
      </c>
      <c r="B1868" s="1" t="n">
        <v>43994</v>
      </c>
      <c r="C1868" s="1" t="n">
        <v>45828</v>
      </c>
      <c r="D1868" t="inlineStr">
        <is>
          <t>JÖNKÖPINGS LÄN</t>
        </is>
      </c>
      <c r="E1868" t="inlineStr">
        <is>
          <t>TRANÅS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27830-2020</t>
        </is>
      </c>
      <c r="B1869" s="1" t="n">
        <v>43994</v>
      </c>
      <c r="C1869" s="1" t="n">
        <v>45828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27881-2020</t>
        </is>
      </c>
      <c r="B1870" s="1" t="n">
        <v>43994</v>
      </c>
      <c r="C1870" s="1" t="n">
        <v>45828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27818-2020</t>
        </is>
      </c>
      <c r="B1871" s="1" t="n">
        <v>43994</v>
      </c>
      <c r="C1871" s="1" t="n">
        <v>45828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27841-2020</t>
        </is>
      </c>
      <c r="B1872" s="1" t="n">
        <v>43994</v>
      </c>
      <c r="C1872" s="1" t="n">
        <v>45828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27909-2020</t>
        </is>
      </c>
      <c r="B1873" s="1" t="n">
        <v>43996</v>
      </c>
      <c r="C1873" s="1" t="n">
        <v>45828</v>
      </c>
      <c r="D1873" t="inlineStr">
        <is>
          <t>JÖNKÖPINGS LÄN</t>
        </is>
      </c>
      <c r="E1873" t="inlineStr">
        <is>
          <t>VÄRNAMO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27915-2020</t>
        </is>
      </c>
      <c r="B1874" s="1" t="n">
        <v>43997</v>
      </c>
      <c r="C1874" s="1" t="n">
        <v>45828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28062-2020</t>
        </is>
      </c>
      <c r="B1875" s="1" t="n">
        <v>43997</v>
      </c>
      <c r="C1875" s="1" t="n">
        <v>45828</v>
      </c>
      <c r="D1875" t="inlineStr">
        <is>
          <t>JÖNKÖPINGS LÄN</t>
        </is>
      </c>
      <c r="E1875" t="inlineStr">
        <is>
          <t>SÄVSJÖ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28081-2020</t>
        </is>
      </c>
      <c r="B1876" s="1" t="n">
        <v>43997</v>
      </c>
      <c r="C1876" s="1" t="n">
        <v>45828</v>
      </c>
      <c r="D1876" t="inlineStr">
        <is>
          <t>JÖNKÖPINGS LÄN</t>
        </is>
      </c>
      <c r="E1876" t="inlineStr">
        <is>
          <t>NÄSSJÖ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28128-2020</t>
        </is>
      </c>
      <c r="B1877" s="1" t="n">
        <v>43997</v>
      </c>
      <c r="C1877" s="1" t="n">
        <v>45828</v>
      </c>
      <c r="D1877" t="inlineStr">
        <is>
          <t>JÖNKÖPINGS LÄN</t>
        </is>
      </c>
      <c r="E1877" t="inlineStr">
        <is>
          <t>NÄSSJÖ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28051-2020</t>
        </is>
      </c>
      <c r="B1878" s="1" t="n">
        <v>43997</v>
      </c>
      <c r="C1878" s="1" t="n">
        <v>45828</v>
      </c>
      <c r="D1878" t="inlineStr">
        <is>
          <t>JÖNKÖPINGS LÄN</t>
        </is>
      </c>
      <c r="E1878" t="inlineStr">
        <is>
          <t>VÄRNAMO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27982-2020</t>
        </is>
      </c>
      <c r="B1879" s="1" t="n">
        <v>43997</v>
      </c>
      <c r="C1879" s="1" t="n">
        <v>45828</v>
      </c>
      <c r="D1879" t="inlineStr">
        <is>
          <t>JÖNKÖPINGS LÄN</t>
        </is>
      </c>
      <c r="E1879" t="inlineStr">
        <is>
          <t>VÄRNAMO</t>
        </is>
      </c>
      <c r="G1879" t="n">
        <v>11.1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28057-2020</t>
        </is>
      </c>
      <c r="B1880" s="1" t="n">
        <v>43997</v>
      </c>
      <c r="C1880" s="1" t="n">
        <v>45828</v>
      </c>
      <c r="D1880" t="inlineStr">
        <is>
          <t>JÖNKÖPINGS LÄN</t>
        </is>
      </c>
      <c r="E1880" t="inlineStr">
        <is>
          <t>VÄRNAMO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28106-2020</t>
        </is>
      </c>
      <c r="B1881" s="1" t="n">
        <v>43997</v>
      </c>
      <c r="C1881" s="1" t="n">
        <v>45828</v>
      </c>
      <c r="D1881" t="inlineStr">
        <is>
          <t>JÖNKÖPINGS LÄN</t>
        </is>
      </c>
      <c r="E1881" t="inlineStr">
        <is>
          <t>NÄSSJÖ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27978-2020</t>
        </is>
      </c>
      <c r="B1882" s="1" t="n">
        <v>43997</v>
      </c>
      <c r="C1882" s="1" t="n">
        <v>45828</v>
      </c>
      <c r="D1882" t="inlineStr">
        <is>
          <t>JÖNKÖPINGS LÄN</t>
        </is>
      </c>
      <c r="E1882" t="inlineStr">
        <is>
          <t>GISLAVED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28436-2020</t>
        </is>
      </c>
      <c r="B1883" s="1" t="n">
        <v>43997</v>
      </c>
      <c r="C1883" s="1" t="n">
        <v>45828</v>
      </c>
      <c r="D1883" t="inlineStr">
        <is>
          <t>JÖNKÖPINGS LÄN</t>
        </is>
      </c>
      <c r="E1883" t="inlineStr">
        <is>
          <t>VETLANDA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28693-2020</t>
        </is>
      </c>
      <c r="B1884" s="1" t="n">
        <v>43998</v>
      </c>
      <c r="C1884" s="1" t="n">
        <v>45828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28816-2020</t>
        </is>
      </c>
      <c r="B1885" s="1" t="n">
        <v>43998</v>
      </c>
      <c r="C1885" s="1" t="n">
        <v>45828</v>
      </c>
      <c r="D1885" t="inlineStr">
        <is>
          <t>JÖNKÖPINGS LÄN</t>
        </is>
      </c>
      <c r="E1885" t="inlineStr">
        <is>
          <t>JÖNKÖPING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28612-2020</t>
        </is>
      </c>
      <c r="B1886" s="1" t="n">
        <v>43998</v>
      </c>
      <c r="C1886" s="1" t="n">
        <v>45828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28700-2020</t>
        </is>
      </c>
      <c r="B1887" s="1" t="n">
        <v>43998</v>
      </c>
      <c r="C1887" s="1" t="n">
        <v>45828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28706-2020</t>
        </is>
      </c>
      <c r="B1888" s="1" t="n">
        <v>43998</v>
      </c>
      <c r="C1888" s="1" t="n">
        <v>45828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29123-2020</t>
        </is>
      </c>
      <c r="B1889" s="1" t="n">
        <v>43998</v>
      </c>
      <c r="C1889" s="1" t="n">
        <v>45828</v>
      </c>
      <c r="D1889" t="inlineStr">
        <is>
          <t>JÖNKÖPINGS LÄN</t>
        </is>
      </c>
      <c r="E1889" t="inlineStr">
        <is>
          <t>GISLAVED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28674-2020</t>
        </is>
      </c>
      <c r="B1890" s="1" t="n">
        <v>43998</v>
      </c>
      <c r="C1890" s="1" t="n">
        <v>45828</v>
      </c>
      <c r="D1890" t="inlineStr">
        <is>
          <t>JÖNKÖPINGS LÄN</t>
        </is>
      </c>
      <c r="E1890" t="inlineStr">
        <is>
          <t>JÖNKÖPING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28508-2020</t>
        </is>
      </c>
      <c r="B1891" s="1" t="n">
        <v>43999</v>
      </c>
      <c r="C1891" s="1" t="n">
        <v>45828</v>
      </c>
      <c r="D1891" t="inlineStr">
        <is>
          <t>JÖNKÖPINGS LÄN</t>
        </is>
      </c>
      <c r="E1891" t="inlineStr">
        <is>
          <t>VAGGERYD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28707-2020</t>
        </is>
      </c>
      <c r="B1892" s="1" t="n">
        <v>43999</v>
      </c>
      <c r="C1892" s="1" t="n">
        <v>45828</v>
      </c>
      <c r="D1892" t="inlineStr">
        <is>
          <t>JÖNKÖPINGS LÄN</t>
        </is>
      </c>
      <c r="E1892" t="inlineStr">
        <is>
          <t>VETLANDA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28729-2020</t>
        </is>
      </c>
      <c r="B1893" s="1" t="n">
        <v>43999</v>
      </c>
      <c r="C1893" s="1" t="n">
        <v>45828</v>
      </c>
      <c r="D1893" t="inlineStr">
        <is>
          <t>JÖNKÖPINGS LÄN</t>
        </is>
      </c>
      <c r="E1893" t="inlineStr">
        <is>
          <t>HABO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28740-2020</t>
        </is>
      </c>
      <c r="B1894" s="1" t="n">
        <v>43999</v>
      </c>
      <c r="C1894" s="1" t="n">
        <v>45828</v>
      </c>
      <c r="D1894" t="inlineStr">
        <is>
          <t>JÖNKÖPINGS LÄN</t>
        </is>
      </c>
      <c r="E1894" t="inlineStr">
        <is>
          <t>SÄVSJÖ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28738-2020</t>
        </is>
      </c>
      <c r="B1895" s="1" t="n">
        <v>43999</v>
      </c>
      <c r="C1895" s="1" t="n">
        <v>45828</v>
      </c>
      <c r="D1895" t="inlineStr">
        <is>
          <t>JÖNKÖPINGS LÄN</t>
        </is>
      </c>
      <c r="E1895" t="inlineStr">
        <is>
          <t>SÄVSJÖ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28743-2020</t>
        </is>
      </c>
      <c r="B1896" s="1" t="n">
        <v>43999</v>
      </c>
      <c r="C1896" s="1" t="n">
        <v>45828</v>
      </c>
      <c r="D1896" t="inlineStr">
        <is>
          <t>JÖNKÖPINGS LÄN</t>
        </is>
      </c>
      <c r="E1896" t="inlineStr">
        <is>
          <t>SÄVSJÖ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28742-2020</t>
        </is>
      </c>
      <c r="B1897" s="1" t="n">
        <v>43999</v>
      </c>
      <c r="C1897" s="1" t="n">
        <v>45828</v>
      </c>
      <c r="D1897" t="inlineStr">
        <is>
          <t>JÖNKÖPINGS LÄN</t>
        </is>
      </c>
      <c r="E1897" t="inlineStr">
        <is>
          <t>SÄVSJÖ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29036-2020</t>
        </is>
      </c>
      <c r="B1898" s="1" t="n">
        <v>44000</v>
      </c>
      <c r="C1898" s="1" t="n">
        <v>45828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Kommuner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28937-2020</t>
        </is>
      </c>
      <c r="B1899" s="1" t="n">
        <v>44000</v>
      </c>
      <c r="C1899" s="1" t="n">
        <v>45828</v>
      </c>
      <c r="D1899" t="inlineStr">
        <is>
          <t>JÖNKÖPINGS LÄN</t>
        </is>
      </c>
      <c r="E1899" t="inlineStr">
        <is>
          <t>GISLAVED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29099-2020</t>
        </is>
      </c>
      <c r="B1900" s="1" t="n">
        <v>44003</v>
      </c>
      <c r="C1900" s="1" t="n">
        <v>45828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29161-2020</t>
        </is>
      </c>
      <c r="B1901" s="1" t="n">
        <v>44004</v>
      </c>
      <c r="C1901" s="1" t="n">
        <v>45828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29273-2020</t>
        </is>
      </c>
      <c r="B1902" s="1" t="n">
        <v>44004</v>
      </c>
      <c r="C1902" s="1" t="n">
        <v>45828</v>
      </c>
      <c r="D1902" t="inlineStr">
        <is>
          <t>JÖNKÖPINGS LÄN</t>
        </is>
      </c>
      <c r="E1902" t="inlineStr">
        <is>
          <t>GISLAVED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29295-2020</t>
        </is>
      </c>
      <c r="B1903" s="1" t="n">
        <v>44004</v>
      </c>
      <c r="C1903" s="1" t="n">
        <v>45828</v>
      </c>
      <c r="D1903" t="inlineStr">
        <is>
          <t>JÖNKÖPINGS LÄN</t>
        </is>
      </c>
      <c r="E1903" t="inlineStr">
        <is>
          <t>GISLAVED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29290-2020</t>
        </is>
      </c>
      <c r="B1904" s="1" t="n">
        <v>44004</v>
      </c>
      <c r="C1904" s="1" t="n">
        <v>45828</v>
      </c>
      <c r="D1904" t="inlineStr">
        <is>
          <t>JÖNKÖPINGS LÄN</t>
        </is>
      </c>
      <c r="E1904" t="inlineStr">
        <is>
          <t>GISLAVED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29371-2020</t>
        </is>
      </c>
      <c r="B1905" s="1" t="n">
        <v>44004</v>
      </c>
      <c r="C1905" s="1" t="n">
        <v>45828</v>
      </c>
      <c r="D1905" t="inlineStr">
        <is>
          <t>JÖNKÖPINGS LÄN</t>
        </is>
      </c>
      <c r="E1905" t="inlineStr">
        <is>
          <t>TRANÅS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29177-2020</t>
        </is>
      </c>
      <c r="B1906" s="1" t="n">
        <v>44004</v>
      </c>
      <c r="C1906" s="1" t="n">
        <v>45828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29776-2020</t>
        </is>
      </c>
      <c r="B1907" s="1" t="n">
        <v>44005</v>
      </c>
      <c r="C1907" s="1" t="n">
        <v>45828</v>
      </c>
      <c r="D1907" t="inlineStr">
        <is>
          <t>JÖNKÖPINGS LÄN</t>
        </is>
      </c>
      <c r="E1907" t="inlineStr">
        <is>
          <t>JÖNKÖPING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29853-2020</t>
        </is>
      </c>
      <c r="B1908" s="1" t="n">
        <v>44006</v>
      </c>
      <c r="C1908" s="1" t="n">
        <v>45828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29851-2020</t>
        </is>
      </c>
      <c r="B1909" s="1" t="n">
        <v>44006</v>
      </c>
      <c r="C1909" s="1" t="n">
        <v>45828</v>
      </c>
      <c r="D1909" t="inlineStr">
        <is>
          <t>JÖNKÖPINGS LÄN</t>
        </is>
      </c>
      <c r="E1909" t="inlineStr">
        <is>
          <t>EKSJÖ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29945-2020</t>
        </is>
      </c>
      <c r="B1910" s="1" t="n">
        <v>44006</v>
      </c>
      <c r="C1910" s="1" t="n">
        <v>45828</v>
      </c>
      <c r="D1910" t="inlineStr">
        <is>
          <t>JÖNKÖPINGS LÄN</t>
        </is>
      </c>
      <c r="E1910" t="inlineStr">
        <is>
          <t>VETLANDA</t>
        </is>
      </c>
      <c r="F1910" t="inlineStr">
        <is>
          <t>Kommuner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29967-2020</t>
        </is>
      </c>
      <c r="B1911" s="1" t="n">
        <v>44006</v>
      </c>
      <c r="C1911" s="1" t="n">
        <v>45828</v>
      </c>
      <c r="D1911" t="inlineStr">
        <is>
          <t>JÖNKÖPINGS LÄN</t>
        </is>
      </c>
      <c r="E1911" t="inlineStr">
        <is>
          <t>VÄRNAMO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29936-2020</t>
        </is>
      </c>
      <c r="B1912" s="1" t="n">
        <v>44006</v>
      </c>
      <c r="C1912" s="1" t="n">
        <v>45828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29969-2020</t>
        </is>
      </c>
      <c r="B1913" s="1" t="n">
        <v>44006</v>
      </c>
      <c r="C1913" s="1" t="n">
        <v>45828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30282-2020</t>
        </is>
      </c>
      <c r="B1914" s="1" t="n">
        <v>44007</v>
      </c>
      <c r="C1914" s="1" t="n">
        <v>45828</v>
      </c>
      <c r="D1914" t="inlineStr">
        <is>
          <t>JÖNKÖPINGS LÄN</t>
        </is>
      </c>
      <c r="E1914" t="inlineStr">
        <is>
          <t>ANEBY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30591-2020</t>
        </is>
      </c>
      <c r="B1915" s="1" t="n">
        <v>44008</v>
      </c>
      <c r="C1915" s="1" t="n">
        <v>45828</v>
      </c>
      <c r="D1915" t="inlineStr">
        <is>
          <t>JÖNKÖPINGS LÄN</t>
        </is>
      </c>
      <c r="E1915" t="inlineStr">
        <is>
          <t>SÄVSJÖ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30944-2020</t>
        </is>
      </c>
      <c r="B1916" s="1" t="n">
        <v>44011</v>
      </c>
      <c r="C1916" s="1" t="n">
        <v>45828</v>
      </c>
      <c r="D1916" t="inlineStr">
        <is>
          <t>JÖNKÖPINGS LÄN</t>
        </is>
      </c>
      <c r="E1916" t="inlineStr">
        <is>
          <t>SÄVSJÖ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30938-2020</t>
        </is>
      </c>
      <c r="B1917" s="1" t="n">
        <v>44011</v>
      </c>
      <c r="C1917" s="1" t="n">
        <v>45828</v>
      </c>
      <c r="D1917" t="inlineStr">
        <is>
          <t>JÖNKÖPINGS LÄN</t>
        </is>
      </c>
      <c r="E1917" t="inlineStr">
        <is>
          <t>EKSJÖ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30904-2020</t>
        </is>
      </c>
      <c r="B1918" s="1" t="n">
        <v>44011</v>
      </c>
      <c r="C1918" s="1" t="n">
        <v>45828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30911-2020</t>
        </is>
      </c>
      <c r="B1919" s="1" t="n">
        <v>44011</v>
      </c>
      <c r="C1919" s="1" t="n">
        <v>45828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31152-2020</t>
        </is>
      </c>
      <c r="B1920" s="1" t="n">
        <v>44012</v>
      </c>
      <c r="C1920" s="1" t="n">
        <v>45828</v>
      </c>
      <c r="D1920" t="inlineStr">
        <is>
          <t>JÖNKÖPINGS LÄN</t>
        </is>
      </c>
      <c r="E1920" t="inlineStr">
        <is>
          <t>SÄVSJÖ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31171-2020</t>
        </is>
      </c>
      <c r="B1921" s="1" t="n">
        <v>44012</v>
      </c>
      <c r="C1921" s="1" t="n">
        <v>45828</v>
      </c>
      <c r="D1921" t="inlineStr">
        <is>
          <t>JÖNKÖPINGS LÄN</t>
        </is>
      </c>
      <c r="E1921" t="inlineStr">
        <is>
          <t>TRANÅS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31126-2020</t>
        </is>
      </c>
      <c r="B1922" s="1" t="n">
        <v>44012</v>
      </c>
      <c r="C1922" s="1" t="n">
        <v>45828</v>
      </c>
      <c r="D1922" t="inlineStr">
        <is>
          <t>JÖNKÖPINGS LÄN</t>
        </is>
      </c>
      <c r="E1922" t="inlineStr">
        <is>
          <t>SÄVSJÖ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31137-2020</t>
        </is>
      </c>
      <c r="B1923" s="1" t="n">
        <v>44012</v>
      </c>
      <c r="C1923" s="1" t="n">
        <v>45828</v>
      </c>
      <c r="D1923" t="inlineStr">
        <is>
          <t>JÖNKÖPINGS LÄN</t>
        </is>
      </c>
      <c r="E1923" t="inlineStr">
        <is>
          <t>SÄVSJÖ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31054-2020</t>
        </is>
      </c>
      <c r="B1924" s="1" t="n">
        <v>44012</v>
      </c>
      <c r="C1924" s="1" t="n">
        <v>45828</v>
      </c>
      <c r="D1924" t="inlineStr">
        <is>
          <t>JÖNKÖPINGS LÄN</t>
        </is>
      </c>
      <c r="E1924" t="inlineStr">
        <is>
          <t>VAGGERYD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31528-2020</t>
        </is>
      </c>
      <c r="B1925" s="1" t="n">
        <v>44013</v>
      </c>
      <c r="C1925" s="1" t="n">
        <v>45828</v>
      </c>
      <c r="D1925" t="inlineStr">
        <is>
          <t>JÖNKÖPINGS LÄN</t>
        </is>
      </c>
      <c r="E1925" t="inlineStr">
        <is>
          <t>VAGGERYD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31443-2020</t>
        </is>
      </c>
      <c r="B1926" s="1" t="n">
        <v>44013</v>
      </c>
      <c r="C1926" s="1" t="n">
        <v>45828</v>
      </c>
      <c r="D1926" t="inlineStr">
        <is>
          <t>JÖNKÖPINGS LÄN</t>
        </is>
      </c>
      <c r="E1926" t="inlineStr">
        <is>
          <t>VETLANDA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31395-2020</t>
        </is>
      </c>
      <c r="B1927" s="1" t="n">
        <v>44013</v>
      </c>
      <c r="C1927" s="1" t="n">
        <v>45828</v>
      </c>
      <c r="D1927" t="inlineStr">
        <is>
          <t>JÖNKÖPINGS LÄN</t>
        </is>
      </c>
      <c r="E1927" t="inlineStr">
        <is>
          <t>NÄSSJÖ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31526-2020</t>
        </is>
      </c>
      <c r="B1928" s="1" t="n">
        <v>44013</v>
      </c>
      <c r="C1928" s="1" t="n">
        <v>45828</v>
      </c>
      <c r="D1928" t="inlineStr">
        <is>
          <t>JÖNKÖPINGS LÄN</t>
        </is>
      </c>
      <c r="E1928" t="inlineStr">
        <is>
          <t>ANEBY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31765-2020</t>
        </is>
      </c>
      <c r="B1929" s="1" t="n">
        <v>44014</v>
      </c>
      <c r="C1929" s="1" t="n">
        <v>45828</v>
      </c>
      <c r="D1929" t="inlineStr">
        <is>
          <t>JÖNKÖPINGS LÄN</t>
        </is>
      </c>
      <c r="E1929" t="inlineStr">
        <is>
          <t>JÖNKÖPING</t>
        </is>
      </c>
      <c r="G1929" t="n">
        <v>0.1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31764-2020</t>
        </is>
      </c>
      <c r="B1930" s="1" t="n">
        <v>44014</v>
      </c>
      <c r="C1930" s="1" t="n">
        <v>45828</v>
      </c>
      <c r="D1930" t="inlineStr">
        <is>
          <t>JÖNKÖPINGS LÄN</t>
        </is>
      </c>
      <c r="E1930" t="inlineStr">
        <is>
          <t>JÖNKÖPING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31779-2020</t>
        </is>
      </c>
      <c r="B1931" s="1" t="n">
        <v>44014</v>
      </c>
      <c r="C1931" s="1" t="n">
        <v>45828</v>
      </c>
      <c r="D1931" t="inlineStr">
        <is>
          <t>JÖNKÖPINGS LÄN</t>
        </is>
      </c>
      <c r="E1931" t="inlineStr">
        <is>
          <t>EKSJÖ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31791-2020</t>
        </is>
      </c>
      <c r="B1932" s="1" t="n">
        <v>44014</v>
      </c>
      <c r="C1932" s="1" t="n">
        <v>45828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31796-2020</t>
        </is>
      </c>
      <c r="B1933" s="1" t="n">
        <v>44014</v>
      </c>
      <c r="C1933" s="1" t="n">
        <v>45828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31849-2020</t>
        </is>
      </c>
      <c r="B1934" s="1" t="n">
        <v>44014</v>
      </c>
      <c r="C1934" s="1" t="n">
        <v>45828</v>
      </c>
      <c r="D1934" t="inlineStr">
        <is>
          <t>JÖNKÖPINGS LÄN</t>
        </is>
      </c>
      <c r="E1934" t="inlineStr">
        <is>
          <t>GISLAVED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31697-2020</t>
        </is>
      </c>
      <c r="B1935" s="1" t="n">
        <v>44014</v>
      </c>
      <c r="C1935" s="1" t="n">
        <v>45828</v>
      </c>
      <c r="D1935" t="inlineStr">
        <is>
          <t>JÖNKÖPINGS LÄN</t>
        </is>
      </c>
      <c r="E1935" t="inlineStr">
        <is>
          <t>MULLSJÖ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32216-2020</t>
        </is>
      </c>
      <c r="B1936" s="1" t="n">
        <v>44015</v>
      </c>
      <c r="C1936" s="1" t="n">
        <v>45828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32206-2020</t>
        </is>
      </c>
      <c r="B1937" s="1" t="n">
        <v>44015</v>
      </c>
      <c r="C1937" s="1" t="n">
        <v>45828</v>
      </c>
      <c r="D1937" t="inlineStr">
        <is>
          <t>JÖNKÖPINGS LÄN</t>
        </is>
      </c>
      <c r="E1937" t="inlineStr">
        <is>
          <t>GISLAVED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32179-2020</t>
        </is>
      </c>
      <c r="B1938" s="1" t="n">
        <v>44015</v>
      </c>
      <c r="C1938" s="1" t="n">
        <v>45828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32275-2020</t>
        </is>
      </c>
      <c r="B1939" s="1" t="n">
        <v>44015</v>
      </c>
      <c r="C1939" s="1" t="n">
        <v>45828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32387-2020</t>
        </is>
      </c>
      <c r="B1940" s="1" t="n">
        <v>44018</v>
      </c>
      <c r="C1940" s="1" t="n">
        <v>45828</v>
      </c>
      <c r="D1940" t="inlineStr">
        <is>
          <t>JÖNKÖPINGS LÄN</t>
        </is>
      </c>
      <c r="E1940" t="inlineStr">
        <is>
          <t>EKSJÖ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32524-2020</t>
        </is>
      </c>
      <c r="B1941" s="1" t="n">
        <v>44018</v>
      </c>
      <c r="C1941" s="1" t="n">
        <v>45828</v>
      </c>
      <c r="D1941" t="inlineStr">
        <is>
          <t>JÖNKÖPINGS LÄN</t>
        </is>
      </c>
      <c r="E1941" t="inlineStr">
        <is>
          <t>JÖNKÖPING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32547-2020</t>
        </is>
      </c>
      <c r="B1942" s="1" t="n">
        <v>44018</v>
      </c>
      <c r="C1942" s="1" t="n">
        <v>45828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32566-2020</t>
        </is>
      </c>
      <c r="B1943" s="1" t="n">
        <v>44018</v>
      </c>
      <c r="C1943" s="1" t="n">
        <v>45828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36252-2020</t>
        </is>
      </c>
      <c r="B1944" s="1" t="n">
        <v>44018</v>
      </c>
      <c r="C1944" s="1" t="n">
        <v>45828</v>
      </c>
      <c r="D1944" t="inlineStr">
        <is>
          <t>JÖNKÖPINGS LÄN</t>
        </is>
      </c>
      <c r="E1944" t="inlineStr">
        <is>
          <t>JÖNKÖPING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32720-2020</t>
        </is>
      </c>
      <c r="B1945" s="1" t="n">
        <v>44018</v>
      </c>
      <c r="C1945" s="1" t="n">
        <v>45828</v>
      </c>
      <c r="D1945" t="inlineStr">
        <is>
          <t>JÖNKÖPINGS LÄN</t>
        </is>
      </c>
      <c r="E1945" t="inlineStr">
        <is>
          <t>JÖNKÖPING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32698-2020</t>
        </is>
      </c>
      <c r="B1946" s="1" t="n">
        <v>44019</v>
      </c>
      <c r="C1946" s="1" t="n">
        <v>45828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32693-2020</t>
        </is>
      </c>
      <c r="B1947" s="1" t="n">
        <v>44019</v>
      </c>
      <c r="C1947" s="1" t="n">
        <v>45828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32713-2020</t>
        </is>
      </c>
      <c r="B1948" s="1" t="n">
        <v>44019</v>
      </c>
      <c r="C1948" s="1" t="n">
        <v>45828</v>
      </c>
      <c r="D1948" t="inlineStr">
        <is>
          <t>JÖNKÖPINGS LÄN</t>
        </is>
      </c>
      <c r="E1948" t="inlineStr">
        <is>
          <t>EKSJÖ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32699-2020</t>
        </is>
      </c>
      <c r="B1949" s="1" t="n">
        <v>44019</v>
      </c>
      <c r="C1949" s="1" t="n">
        <v>45828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32896-2020</t>
        </is>
      </c>
      <c r="B1950" s="1" t="n">
        <v>44019</v>
      </c>
      <c r="C1950" s="1" t="n">
        <v>45828</v>
      </c>
      <c r="D1950" t="inlineStr">
        <is>
          <t>JÖNKÖPINGS LÄN</t>
        </is>
      </c>
      <c r="E1950" t="inlineStr">
        <is>
          <t>SÄVSJÖ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32892-2020</t>
        </is>
      </c>
      <c r="B1951" s="1" t="n">
        <v>44020</v>
      </c>
      <c r="C1951" s="1" t="n">
        <v>45828</v>
      </c>
      <c r="D1951" t="inlineStr">
        <is>
          <t>JÖNKÖPINGS LÄN</t>
        </is>
      </c>
      <c r="E1951" t="inlineStr">
        <is>
          <t>SÄVSJÖ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32928-2020</t>
        </is>
      </c>
      <c r="B1952" s="1" t="n">
        <v>44020</v>
      </c>
      <c r="C1952" s="1" t="n">
        <v>45828</v>
      </c>
      <c r="D1952" t="inlineStr">
        <is>
          <t>JÖNKÖPINGS LÄN</t>
        </is>
      </c>
      <c r="E1952" t="inlineStr">
        <is>
          <t>EKSJÖ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32976-2020</t>
        </is>
      </c>
      <c r="B1953" s="1" t="n">
        <v>44020</v>
      </c>
      <c r="C1953" s="1" t="n">
        <v>45828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32889-2020</t>
        </is>
      </c>
      <c r="B1954" s="1" t="n">
        <v>44020</v>
      </c>
      <c r="C1954" s="1" t="n">
        <v>45828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32981-2020</t>
        </is>
      </c>
      <c r="B1955" s="1" t="n">
        <v>44020</v>
      </c>
      <c r="C1955" s="1" t="n">
        <v>45828</v>
      </c>
      <c r="D1955" t="inlineStr">
        <is>
          <t>JÖNKÖPINGS LÄN</t>
        </is>
      </c>
      <c r="E1955" t="inlineStr">
        <is>
          <t>VETLANDA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32890-2020</t>
        </is>
      </c>
      <c r="B1956" s="1" t="n">
        <v>44020</v>
      </c>
      <c r="C1956" s="1" t="n">
        <v>45828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32982-2020</t>
        </is>
      </c>
      <c r="B1957" s="1" t="n">
        <v>44020</v>
      </c>
      <c r="C1957" s="1" t="n">
        <v>45828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33081-2020</t>
        </is>
      </c>
      <c r="B1958" s="1" t="n">
        <v>44021</v>
      </c>
      <c r="C1958" s="1" t="n">
        <v>45828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33079-2020</t>
        </is>
      </c>
      <c r="B1959" s="1" t="n">
        <v>44021</v>
      </c>
      <c r="C1959" s="1" t="n">
        <v>45828</v>
      </c>
      <c r="D1959" t="inlineStr">
        <is>
          <t>JÖNKÖPINGS LÄN</t>
        </is>
      </c>
      <c r="E1959" t="inlineStr">
        <is>
          <t>VETLANDA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33172-2020</t>
        </is>
      </c>
      <c r="B1960" s="1" t="n">
        <v>44021</v>
      </c>
      <c r="C1960" s="1" t="n">
        <v>45828</v>
      </c>
      <c r="D1960" t="inlineStr">
        <is>
          <t>JÖNKÖPINGS LÄN</t>
        </is>
      </c>
      <c r="E1960" t="inlineStr">
        <is>
          <t>JÖNKÖPING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33276-2020</t>
        </is>
      </c>
      <c r="B1961" s="1" t="n">
        <v>44022</v>
      </c>
      <c r="C1961" s="1" t="n">
        <v>45828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33326-2020</t>
        </is>
      </c>
      <c r="B1962" s="1" t="n">
        <v>44022</v>
      </c>
      <c r="C1962" s="1" t="n">
        <v>45828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Kyrkan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33368-2020</t>
        </is>
      </c>
      <c r="B1963" s="1" t="n">
        <v>44022</v>
      </c>
      <c r="C1963" s="1" t="n">
        <v>45828</v>
      </c>
      <c r="D1963" t="inlineStr">
        <is>
          <t>JÖNKÖPINGS LÄN</t>
        </is>
      </c>
      <c r="E1963" t="inlineStr">
        <is>
          <t>GISLAVED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33384-2020</t>
        </is>
      </c>
      <c r="B1964" s="1" t="n">
        <v>44022</v>
      </c>
      <c r="C1964" s="1" t="n">
        <v>45828</v>
      </c>
      <c r="D1964" t="inlineStr">
        <is>
          <t>JÖNKÖPINGS LÄN</t>
        </is>
      </c>
      <c r="E1964" t="inlineStr">
        <is>
          <t>GISLAVED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33271-2020</t>
        </is>
      </c>
      <c r="B1965" s="1" t="n">
        <v>44022</v>
      </c>
      <c r="C1965" s="1" t="n">
        <v>45828</v>
      </c>
      <c r="D1965" t="inlineStr">
        <is>
          <t>JÖNKÖPINGS LÄN</t>
        </is>
      </c>
      <c r="E1965" t="inlineStr">
        <is>
          <t>GISLAVED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33309-2020</t>
        </is>
      </c>
      <c r="B1966" s="1" t="n">
        <v>44022</v>
      </c>
      <c r="C1966" s="1" t="n">
        <v>45828</v>
      </c>
      <c r="D1966" t="inlineStr">
        <is>
          <t>JÖNKÖPINGS LÄN</t>
        </is>
      </c>
      <c r="E1966" t="inlineStr">
        <is>
          <t>SÄVSJÖ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33321-2020</t>
        </is>
      </c>
      <c r="B1967" s="1" t="n">
        <v>44022</v>
      </c>
      <c r="C1967" s="1" t="n">
        <v>45828</v>
      </c>
      <c r="D1967" t="inlineStr">
        <is>
          <t>JÖNKÖPINGS LÄN</t>
        </is>
      </c>
      <c r="E1967" t="inlineStr">
        <is>
          <t>VÄRNAMO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33361-2020</t>
        </is>
      </c>
      <c r="B1968" s="1" t="n">
        <v>44022</v>
      </c>
      <c r="C1968" s="1" t="n">
        <v>45828</v>
      </c>
      <c r="D1968" t="inlineStr">
        <is>
          <t>JÖNKÖPINGS LÄN</t>
        </is>
      </c>
      <c r="E1968" t="inlineStr">
        <is>
          <t>VÄRNAMO</t>
        </is>
      </c>
      <c r="F1968" t="inlineStr">
        <is>
          <t>Övriga Aktiebolag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33268-2020</t>
        </is>
      </c>
      <c r="B1969" s="1" t="n">
        <v>44022</v>
      </c>
      <c r="C1969" s="1" t="n">
        <v>45828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33359-2020</t>
        </is>
      </c>
      <c r="B1970" s="1" t="n">
        <v>44022</v>
      </c>
      <c r="C1970" s="1" t="n">
        <v>45828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33386-2020</t>
        </is>
      </c>
      <c r="B1971" s="1" t="n">
        <v>44022</v>
      </c>
      <c r="C1971" s="1" t="n">
        <v>45828</v>
      </c>
      <c r="D1971" t="inlineStr">
        <is>
          <t>JÖNKÖPINGS LÄN</t>
        </is>
      </c>
      <c r="E1971" t="inlineStr">
        <is>
          <t>GISLAVED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33272-2020</t>
        </is>
      </c>
      <c r="B1972" s="1" t="n">
        <v>44022</v>
      </c>
      <c r="C1972" s="1" t="n">
        <v>45828</v>
      </c>
      <c r="D1972" t="inlineStr">
        <is>
          <t>JÖNKÖPINGS LÄN</t>
        </is>
      </c>
      <c r="E1972" t="inlineStr">
        <is>
          <t>HABO</t>
        </is>
      </c>
      <c r="F1972" t="inlineStr">
        <is>
          <t>Sveaskog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33329-2020</t>
        </is>
      </c>
      <c r="B1973" s="1" t="n">
        <v>44022</v>
      </c>
      <c r="C1973" s="1" t="n">
        <v>45828</v>
      </c>
      <c r="D1973" t="inlineStr">
        <is>
          <t>JÖNKÖPINGS LÄN</t>
        </is>
      </c>
      <c r="E1973" t="inlineStr">
        <is>
          <t>SÄVSJÖ</t>
        </is>
      </c>
      <c r="G1973" t="n">
        <v>10.7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33526-2020</t>
        </is>
      </c>
      <c r="B1974" s="1" t="n">
        <v>44025</v>
      </c>
      <c r="C1974" s="1" t="n">
        <v>45828</v>
      </c>
      <c r="D1974" t="inlineStr">
        <is>
          <t>JÖNKÖPINGS LÄN</t>
        </is>
      </c>
      <c r="E1974" t="inlineStr">
        <is>
          <t>NÄSSJÖ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33560-2020</t>
        </is>
      </c>
      <c r="B1975" s="1" t="n">
        <v>44025</v>
      </c>
      <c r="C1975" s="1" t="n">
        <v>45828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34002-2020</t>
        </is>
      </c>
      <c r="B1976" s="1" t="n">
        <v>44026</v>
      </c>
      <c r="C1976" s="1" t="n">
        <v>45828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33989-2020</t>
        </is>
      </c>
      <c r="B1977" s="1" t="n">
        <v>44026</v>
      </c>
      <c r="C1977" s="1" t="n">
        <v>45828</v>
      </c>
      <c r="D1977" t="inlineStr">
        <is>
          <t>JÖNKÖPINGS LÄN</t>
        </is>
      </c>
      <c r="E1977" t="inlineStr">
        <is>
          <t>VETLANDA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33820-2020</t>
        </is>
      </c>
      <c r="B1978" s="1" t="n">
        <v>44027</v>
      </c>
      <c r="C1978" s="1" t="n">
        <v>45828</v>
      </c>
      <c r="D1978" t="inlineStr">
        <is>
          <t>JÖNKÖPINGS LÄN</t>
        </is>
      </c>
      <c r="E1978" t="inlineStr">
        <is>
          <t>GISLAVED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33848-2020</t>
        </is>
      </c>
      <c r="B1979" s="1" t="n">
        <v>44027</v>
      </c>
      <c r="C1979" s="1" t="n">
        <v>45828</v>
      </c>
      <c r="D1979" t="inlineStr">
        <is>
          <t>JÖNKÖPINGS LÄN</t>
        </is>
      </c>
      <c r="E1979" t="inlineStr">
        <is>
          <t>JÖNKÖPING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33988-2020</t>
        </is>
      </c>
      <c r="B1980" s="1" t="n">
        <v>44028</v>
      </c>
      <c r="C1980" s="1" t="n">
        <v>45828</v>
      </c>
      <c r="D1980" t="inlineStr">
        <is>
          <t>JÖNKÖPINGS LÄN</t>
        </is>
      </c>
      <c r="E1980" t="inlineStr">
        <is>
          <t>JÖNKÖPING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34325-2020</t>
        </is>
      </c>
      <c r="B1981" s="1" t="n">
        <v>44028</v>
      </c>
      <c r="C1981" s="1" t="n">
        <v>45828</v>
      </c>
      <c r="D1981" t="inlineStr">
        <is>
          <t>JÖNKÖPINGS LÄN</t>
        </is>
      </c>
      <c r="E1981" t="inlineStr">
        <is>
          <t>ANEBY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34340-2020</t>
        </is>
      </c>
      <c r="B1982" s="1" t="n">
        <v>44028</v>
      </c>
      <c r="C1982" s="1" t="n">
        <v>45828</v>
      </c>
      <c r="D1982" t="inlineStr">
        <is>
          <t>JÖNKÖPINGS LÄN</t>
        </is>
      </c>
      <c r="E1982" t="inlineStr">
        <is>
          <t>EKSJÖ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34324-2020</t>
        </is>
      </c>
      <c r="B1983" s="1" t="n">
        <v>44028</v>
      </c>
      <c r="C1983" s="1" t="n">
        <v>45828</v>
      </c>
      <c r="D1983" t="inlineStr">
        <is>
          <t>JÖNKÖPINGS LÄN</t>
        </is>
      </c>
      <c r="E1983" t="inlineStr">
        <is>
          <t>EKSJÖ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34339-2020</t>
        </is>
      </c>
      <c r="B1984" s="1" t="n">
        <v>44028</v>
      </c>
      <c r="C1984" s="1" t="n">
        <v>45828</v>
      </c>
      <c r="D1984" t="inlineStr">
        <is>
          <t>JÖNKÖPINGS LÄN</t>
        </is>
      </c>
      <c r="E1984" t="inlineStr">
        <is>
          <t>EKSJÖ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34320-2020</t>
        </is>
      </c>
      <c r="B1985" s="1" t="n">
        <v>44028</v>
      </c>
      <c r="C1985" s="1" t="n">
        <v>45828</v>
      </c>
      <c r="D1985" t="inlineStr">
        <is>
          <t>JÖNKÖPINGS LÄN</t>
        </is>
      </c>
      <c r="E1985" t="inlineStr">
        <is>
          <t>ANEBY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34004-2020</t>
        </is>
      </c>
      <c r="B1986" s="1" t="n">
        <v>44028</v>
      </c>
      <c r="C1986" s="1" t="n">
        <v>45828</v>
      </c>
      <c r="D1986" t="inlineStr">
        <is>
          <t>JÖNKÖPINGS LÄN</t>
        </is>
      </c>
      <c r="E1986" t="inlineStr">
        <is>
          <t>VAGGERYD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34315-2020</t>
        </is>
      </c>
      <c r="B1987" s="1" t="n">
        <v>44028</v>
      </c>
      <c r="C1987" s="1" t="n">
        <v>45828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34179-2020</t>
        </is>
      </c>
      <c r="B1988" s="1" t="n">
        <v>44029</v>
      </c>
      <c r="C1988" s="1" t="n">
        <v>45828</v>
      </c>
      <c r="D1988" t="inlineStr">
        <is>
          <t>JÖNKÖPINGS LÄN</t>
        </is>
      </c>
      <c r="E1988" t="inlineStr">
        <is>
          <t>VETLANDA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34399-2020</t>
        </is>
      </c>
      <c r="B1989" s="1" t="n">
        <v>44029</v>
      </c>
      <c r="C1989" s="1" t="n">
        <v>45828</v>
      </c>
      <c r="D1989" t="inlineStr">
        <is>
          <t>JÖNKÖPINGS LÄN</t>
        </is>
      </c>
      <c r="E1989" t="inlineStr">
        <is>
          <t>SÄVSJÖ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34486-2020</t>
        </is>
      </c>
      <c r="B1990" s="1" t="n">
        <v>44029</v>
      </c>
      <c r="C1990" s="1" t="n">
        <v>45828</v>
      </c>
      <c r="D1990" t="inlineStr">
        <is>
          <t>JÖNKÖPINGS LÄN</t>
        </is>
      </c>
      <c r="E1990" t="inlineStr">
        <is>
          <t>VÄRNAMO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34298-2020</t>
        </is>
      </c>
      <c r="B1991" s="1" t="n">
        <v>44031</v>
      </c>
      <c r="C1991" s="1" t="n">
        <v>45828</v>
      </c>
      <c r="D1991" t="inlineStr">
        <is>
          <t>JÖNKÖPINGS LÄN</t>
        </is>
      </c>
      <c r="E1991" t="inlineStr">
        <is>
          <t>VÄRNAMO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34444-2020</t>
        </is>
      </c>
      <c r="B1992" s="1" t="n">
        <v>44032</v>
      </c>
      <c r="C1992" s="1" t="n">
        <v>45828</v>
      </c>
      <c r="D1992" t="inlineStr">
        <is>
          <t>JÖNKÖPINGS LÄN</t>
        </is>
      </c>
      <c r="E1992" t="inlineStr">
        <is>
          <t>JÖNKÖPING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34485-2020</t>
        </is>
      </c>
      <c r="B1993" s="1" t="n">
        <v>44033</v>
      </c>
      <c r="C1993" s="1" t="n">
        <v>45828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35068-2020</t>
        </is>
      </c>
      <c r="B1994" s="1" t="n">
        <v>44039</v>
      </c>
      <c r="C1994" s="1" t="n">
        <v>45828</v>
      </c>
      <c r="D1994" t="inlineStr">
        <is>
          <t>JÖNKÖPINGS LÄN</t>
        </is>
      </c>
      <c r="E1994" t="inlineStr">
        <is>
          <t>GISLAVED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35122-2020</t>
        </is>
      </c>
      <c r="B1995" s="1" t="n">
        <v>44040</v>
      </c>
      <c r="C1995" s="1" t="n">
        <v>45828</v>
      </c>
      <c r="D1995" t="inlineStr">
        <is>
          <t>JÖNKÖPINGS LÄN</t>
        </is>
      </c>
      <c r="E1995" t="inlineStr">
        <is>
          <t>VAGGERYD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35143-2020</t>
        </is>
      </c>
      <c r="B1996" s="1" t="n">
        <v>44040</v>
      </c>
      <c r="C1996" s="1" t="n">
        <v>45828</v>
      </c>
      <c r="D1996" t="inlineStr">
        <is>
          <t>JÖNKÖPINGS LÄN</t>
        </is>
      </c>
      <c r="E1996" t="inlineStr">
        <is>
          <t>GNOSJÖ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35119-2020</t>
        </is>
      </c>
      <c r="B1997" s="1" t="n">
        <v>44040</v>
      </c>
      <c r="C1997" s="1" t="n">
        <v>45828</v>
      </c>
      <c r="D1997" t="inlineStr">
        <is>
          <t>JÖNKÖPINGS LÄN</t>
        </is>
      </c>
      <c r="E1997" t="inlineStr">
        <is>
          <t>VÄRNAMO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35117-2020</t>
        </is>
      </c>
      <c r="B1998" s="1" t="n">
        <v>44040</v>
      </c>
      <c r="C1998" s="1" t="n">
        <v>45828</v>
      </c>
      <c r="D1998" t="inlineStr">
        <is>
          <t>JÖNKÖPINGS LÄN</t>
        </is>
      </c>
      <c r="E1998" t="inlineStr">
        <is>
          <t>VAGGERYD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35144-2020</t>
        </is>
      </c>
      <c r="B1999" s="1" t="n">
        <v>44040</v>
      </c>
      <c r="C1999" s="1" t="n">
        <v>45828</v>
      </c>
      <c r="D1999" t="inlineStr">
        <is>
          <t>JÖNKÖPINGS LÄN</t>
        </is>
      </c>
      <c r="E1999" t="inlineStr">
        <is>
          <t>GNOSJÖ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35406-2020</t>
        </is>
      </c>
      <c r="B2000" s="1" t="n">
        <v>44042</v>
      </c>
      <c r="C2000" s="1" t="n">
        <v>45828</v>
      </c>
      <c r="D2000" t="inlineStr">
        <is>
          <t>JÖNKÖPINGS LÄN</t>
        </is>
      </c>
      <c r="E2000" t="inlineStr">
        <is>
          <t>NÄSSJÖ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35476-2020</t>
        </is>
      </c>
      <c r="B2001" s="1" t="n">
        <v>44042</v>
      </c>
      <c r="C2001" s="1" t="n">
        <v>45828</v>
      </c>
      <c r="D2001" t="inlineStr">
        <is>
          <t>JÖNKÖPINGS LÄN</t>
        </is>
      </c>
      <c r="E2001" t="inlineStr">
        <is>
          <t>VETLANDA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35608-2020</t>
        </is>
      </c>
      <c r="B2002" s="1" t="n">
        <v>44044</v>
      </c>
      <c r="C2002" s="1" t="n">
        <v>45828</v>
      </c>
      <c r="D2002" t="inlineStr">
        <is>
          <t>JÖNKÖPINGS LÄN</t>
        </is>
      </c>
      <c r="E2002" t="inlineStr">
        <is>
          <t>NÄSSJÖ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35674-2020</t>
        </is>
      </c>
      <c r="B2003" s="1" t="n">
        <v>44046</v>
      </c>
      <c r="C2003" s="1" t="n">
        <v>45828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36029-2020</t>
        </is>
      </c>
      <c r="B2004" s="1" t="n">
        <v>44047</v>
      </c>
      <c r="C2004" s="1" t="n">
        <v>45828</v>
      </c>
      <c r="D2004" t="inlineStr">
        <is>
          <t>JÖNKÖPINGS LÄN</t>
        </is>
      </c>
      <c r="E2004" t="inlineStr">
        <is>
          <t>GISLAVED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36031-2020</t>
        </is>
      </c>
      <c r="B2005" s="1" t="n">
        <v>44047</v>
      </c>
      <c r="C2005" s="1" t="n">
        <v>45828</v>
      </c>
      <c r="D2005" t="inlineStr">
        <is>
          <t>JÖNKÖPINGS LÄN</t>
        </is>
      </c>
      <c r="E2005" t="inlineStr">
        <is>
          <t>NÄSSJÖ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36042-2020</t>
        </is>
      </c>
      <c r="B2006" s="1" t="n">
        <v>44048</v>
      </c>
      <c r="C2006" s="1" t="n">
        <v>45828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36079-2020</t>
        </is>
      </c>
      <c r="B2007" s="1" t="n">
        <v>44048</v>
      </c>
      <c r="C2007" s="1" t="n">
        <v>45828</v>
      </c>
      <c r="D2007" t="inlineStr">
        <is>
          <t>JÖNKÖPINGS LÄN</t>
        </is>
      </c>
      <c r="E2007" t="inlineStr">
        <is>
          <t>VÄRNAMO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36071-2020</t>
        </is>
      </c>
      <c r="B2008" s="1" t="n">
        <v>44048</v>
      </c>
      <c r="C2008" s="1" t="n">
        <v>45828</v>
      </c>
      <c r="D2008" t="inlineStr">
        <is>
          <t>JÖNKÖPINGS LÄN</t>
        </is>
      </c>
      <c r="E2008" t="inlineStr">
        <is>
          <t>VÄRNAMO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36033-2020</t>
        </is>
      </c>
      <c r="B2009" s="1" t="n">
        <v>44048</v>
      </c>
      <c r="C2009" s="1" t="n">
        <v>45828</v>
      </c>
      <c r="D2009" t="inlineStr">
        <is>
          <t>JÖNKÖPINGS LÄN</t>
        </is>
      </c>
      <c r="E2009" t="inlineStr">
        <is>
          <t>NÄSSJÖ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36171-2020</t>
        </is>
      </c>
      <c r="B2010" s="1" t="n">
        <v>44048</v>
      </c>
      <c r="C2010" s="1" t="n">
        <v>45828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36172-2020</t>
        </is>
      </c>
      <c r="B2011" s="1" t="n">
        <v>44048</v>
      </c>
      <c r="C2011" s="1" t="n">
        <v>45828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36258-2020</t>
        </is>
      </c>
      <c r="B2012" s="1" t="n">
        <v>44049</v>
      </c>
      <c r="C2012" s="1" t="n">
        <v>45828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36272-2020</t>
        </is>
      </c>
      <c r="B2013" s="1" t="n">
        <v>44049</v>
      </c>
      <c r="C2013" s="1" t="n">
        <v>45828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36270-2020</t>
        </is>
      </c>
      <c r="B2014" s="1" t="n">
        <v>44049</v>
      </c>
      <c r="C2014" s="1" t="n">
        <v>45828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36275-2020</t>
        </is>
      </c>
      <c r="B2015" s="1" t="n">
        <v>44049</v>
      </c>
      <c r="C2015" s="1" t="n">
        <v>45828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36303-2020</t>
        </is>
      </c>
      <c r="B2016" s="1" t="n">
        <v>44049</v>
      </c>
      <c r="C2016" s="1" t="n">
        <v>45828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36253-2020</t>
        </is>
      </c>
      <c r="B2017" s="1" t="n">
        <v>44049</v>
      </c>
      <c r="C2017" s="1" t="n">
        <v>45828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36259-2020</t>
        </is>
      </c>
      <c r="B2018" s="1" t="n">
        <v>44049</v>
      </c>
      <c r="C2018" s="1" t="n">
        <v>45828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36273-2020</t>
        </is>
      </c>
      <c r="B2019" s="1" t="n">
        <v>44049</v>
      </c>
      <c r="C2019" s="1" t="n">
        <v>45828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36320-2020</t>
        </is>
      </c>
      <c r="B2020" s="1" t="n">
        <v>44049</v>
      </c>
      <c r="C2020" s="1" t="n">
        <v>45828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36230-2020</t>
        </is>
      </c>
      <c r="B2021" s="1" t="n">
        <v>44049</v>
      </c>
      <c r="C2021" s="1" t="n">
        <v>45828</v>
      </c>
      <c r="D2021" t="inlineStr">
        <is>
          <t>JÖNKÖPINGS LÄN</t>
        </is>
      </c>
      <c r="E2021" t="inlineStr">
        <is>
          <t>HABO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36267-2020</t>
        </is>
      </c>
      <c r="B2022" s="1" t="n">
        <v>44049</v>
      </c>
      <c r="C2022" s="1" t="n">
        <v>45828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36324-2020</t>
        </is>
      </c>
      <c r="B2023" s="1" t="n">
        <v>44049</v>
      </c>
      <c r="C2023" s="1" t="n">
        <v>45828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36329-2020</t>
        </is>
      </c>
      <c r="B2024" s="1" t="n">
        <v>44049</v>
      </c>
      <c r="C2024" s="1" t="n">
        <v>45828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36361-2020</t>
        </is>
      </c>
      <c r="B2025" s="1" t="n">
        <v>44049</v>
      </c>
      <c r="C2025" s="1" t="n">
        <v>45828</v>
      </c>
      <c r="D2025" t="inlineStr">
        <is>
          <t>JÖNKÖPINGS LÄN</t>
        </is>
      </c>
      <c r="E2025" t="inlineStr">
        <is>
          <t>VÄRNAMO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36343-2020</t>
        </is>
      </c>
      <c r="B2026" s="1" t="n">
        <v>44049</v>
      </c>
      <c r="C2026" s="1" t="n">
        <v>45828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36527-2020</t>
        </is>
      </c>
      <c r="B2027" s="1" t="n">
        <v>44050</v>
      </c>
      <c r="C2027" s="1" t="n">
        <v>45828</v>
      </c>
      <c r="D2027" t="inlineStr">
        <is>
          <t>JÖNKÖPINGS LÄN</t>
        </is>
      </c>
      <c r="E2027" t="inlineStr">
        <is>
          <t>VETLANDA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36597-2020</t>
        </is>
      </c>
      <c r="B2028" s="1" t="n">
        <v>44050</v>
      </c>
      <c r="C2028" s="1" t="n">
        <v>45828</v>
      </c>
      <c r="D2028" t="inlineStr">
        <is>
          <t>JÖNKÖPINGS LÄN</t>
        </is>
      </c>
      <c r="E2028" t="inlineStr">
        <is>
          <t>ANEBY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36907-2020</t>
        </is>
      </c>
      <c r="B2029" s="1" t="n">
        <v>44053</v>
      </c>
      <c r="C2029" s="1" t="n">
        <v>45828</v>
      </c>
      <c r="D2029" t="inlineStr">
        <is>
          <t>JÖNKÖPINGS LÄN</t>
        </is>
      </c>
      <c r="E2029" t="inlineStr">
        <is>
          <t>TRANÅS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36904-2020</t>
        </is>
      </c>
      <c r="B2030" s="1" t="n">
        <v>44053</v>
      </c>
      <c r="C2030" s="1" t="n">
        <v>45828</v>
      </c>
      <c r="D2030" t="inlineStr">
        <is>
          <t>JÖNKÖPINGS LÄN</t>
        </is>
      </c>
      <c r="E2030" t="inlineStr">
        <is>
          <t>TRANÅS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36882-2020</t>
        </is>
      </c>
      <c r="B2031" s="1" t="n">
        <v>44053</v>
      </c>
      <c r="C2031" s="1" t="n">
        <v>45828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36983-2020</t>
        </is>
      </c>
      <c r="B2032" s="1" t="n">
        <v>44054</v>
      </c>
      <c r="C2032" s="1" t="n">
        <v>45828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Sveaskog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37071-2020</t>
        </is>
      </c>
      <c r="B2033" s="1" t="n">
        <v>44054</v>
      </c>
      <c r="C2033" s="1" t="n">
        <v>45828</v>
      </c>
      <c r="D2033" t="inlineStr">
        <is>
          <t>JÖNKÖPINGS LÄN</t>
        </is>
      </c>
      <c r="E2033" t="inlineStr">
        <is>
          <t>VÄRNAMO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36989-2020</t>
        </is>
      </c>
      <c r="B2034" s="1" t="n">
        <v>44054</v>
      </c>
      <c r="C2034" s="1" t="n">
        <v>45828</v>
      </c>
      <c r="D2034" t="inlineStr">
        <is>
          <t>JÖNKÖPINGS LÄN</t>
        </is>
      </c>
      <c r="E2034" t="inlineStr">
        <is>
          <t>JÖNKÖPING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37116-2020</t>
        </is>
      </c>
      <c r="B2035" s="1" t="n">
        <v>44054</v>
      </c>
      <c r="C2035" s="1" t="n">
        <v>45828</v>
      </c>
      <c r="D2035" t="inlineStr">
        <is>
          <t>JÖNKÖPINGS LÄN</t>
        </is>
      </c>
      <c r="E2035" t="inlineStr">
        <is>
          <t>VÄRNAMO</t>
        </is>
      </c>
      <c r="G2035" t="n">
        <v>7.8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37141-2020</t>
        </is>
      </c>
      <c r="B2036" s="1" t="n">
        <v>44054</v>
      </c>
      <c r="C2036" s="1" t="n">
        <v>45828</v>
      </c>
      <c r="D2036" t="inlineStr">
        <is>
          <t>JÖNKÖPINGS LÄN</t>
        </is>
      </c>
      <c r="E2036" t="inlineStr">
        <is>
          <t>SÄVSJÖ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37177-2020</t>
        </is>
      </c>
      <c r="B2037" s="1" t="n">
        <v>44054</v>
      </c>
      <c r="C2037" s="1" t="n">
        <v>45828</v>
      </c>
      <c r="D2037" t="inlineStr">
        <is>
          <t>JÖNKÖPINGS LÄN</t>
        </is>
      </c>
      <c r="E2037" t="inlineStr">
        <is>
          <t>VETLANDA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37286-2020</t>
        </is>
      </c>
      <c r="B2038" s="1" t="n">
        <v>44055</v>
      </c>
      <c r="C2038" s="1" t="n">
        <v>45828</v>
      </c>
      <c r="D2038" t="inlineStr">
        <is>
          <t>JÖNKÖPINGS LÄN</t>
        </is>
      </c>
      <c r="E2038" t="inlineStr">
        <is>
          <t>VÄRNAMO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37348-2020</t>
        </is>
      </c>
      <c r="B2039" s="1" t="n">
        <v>44055</v>
      </c>
      <c r="C2039" s="1" t="n">
        <v>45828</v>
      </c>
      <c r="D2039" t="inlineStr">
        <is>
          <t>JÖNKÖPINGS LÄN</t>
        </is>
      </c>
      <c r="E2039" t="inlineStr">
        <is>
          <t>GISLAVED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37468-2020</t>
        </is>
      </c>
      <c r="B2040" s="1" t="n">
        <v>44055</v>
      </c>
      <c r="C2040" s="1" t="n">
        <v>45828</v>
      </c>
      <c r="D2040" t="inlineStr">
        <is>
          <t>JÖNKÖPINGS LÄN</t>
        </is>
      </c>
      <c r="E2040" t="inlineStr">
        <is>
          <t>EKSJÖ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37545-2020</t>
        </is>
      </c>
      <c r="B2041" s="1" t="n">
        <v>44056</v>
      </c>
      <c r="C2041" s="1" t="n">
        <v>45828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37549-2020</t>
        </is>
      </c>
      <c r="B2042" s="1" t="n">
        <v>44056</v>
      </c>
      <c r="C2042" s="1" t="n">
        <v>45828</v>
      </c>
      <c r="D2042" t="inlineStr">
        <is>
          <t>JÖNKÖPINGS LÄN</t>
        </is>
      </c>
      <c r="E2042" t="inlineStr">
        <is>
          <t>NÄSSJÖ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37555-2020</t>
        </is>
      </c>
      <c r="B2043" s="1" t="n">
        <v>44056</v>
      </c>
      <c r="C2043" s="1" t="n">
        <v>45828</v>
      </c>
      <c r="D2043" t="inlineStr">
        <is>
          <t>JÖNKÖPINGS LÄN</t>
        </is>
      </c>
      <c r="E2043" t="inlineStr">
        <is>
          <t>VAGGERYD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37535-2020</t>
        </is>
      </c>
      <c r="B2044" s="1" t="n">
        <v>44056</v>
      </c>
      <c r="C2044" s="1" t="n">
        <v>45828</v>
      </c>
      <c r="D2044" t="inlineStr">
        <is>
          <t>JÖNKÖPINGS LÄN</t>
        </is>
      </c>
      <c r="E2044" t="inlineStr">
        <is>
          <t>JÖNKÖPING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37554-2020</t>
        </is>
      </c>
      <c r="B2045" s="1" t="n">
        <v>44056</v>
      </c>
      <c r="C2045" s="1" t="n">
        <v>45828</v>
      </c>
      <c r="D2045" t="inlineStr">
        <is>
          <t>JÖNKÖPINGS LÄN</t>
        </is>
      </c>
      <c r="E2045" t="inlineStr">
        <is>
          <t>JÖNKÖPING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37570-2020</t>
        </is>
      </c>
      <c r="B2046" s="1" t="n">
        <v>44056</v>
      </c>
      <c r="C2046" s="1" t="n">
        <v>45828</v>
      </c>
      <c r="D2046" t="inlineStr">
        <is>
          <t>JÖNKÖPINGS LÄN</t>
        </is>
      </c>
      <c r="E2046" t="inlineStr">
        <is>
          <t>JÖNKÖPING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37533-2020</t>
        </is>
      </c>
      <c r="B2047" s="1" t="n">
        <v>44056</v>
      </c>
      <c r="C2047" s="1" t="n">
        <v>45828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37601-2020</t>
        </is>
      </c>
      <c r="B2048" s="1" t="n">
        <v>44056</v>
      </c>
      <c r="C2048" s="1" t="n">
        <v>45828</v>
      </c>
      <c r="D2048" t="inlineStr">
        <is>
          <t>JÖNKÖPINGS LÄN</t>
        </is>
      </c>
      <c r="E2048" t="inlineStr">
        <is>
          <t>SÄVSJÖ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37766-2020</t>
        </is>
      </c>
      <c r="B2049" s="1" t="n">
        <v>44056</v>
      </c>
      <c r="C2049" s="1" t="n">
        <v>45828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37770-2020</t>
        </is>
      </c>
      <c r="B2050" s="1" t="n">
        <v>44056</v>
      </c>
      <c r="C2050" s="1" t="n">
        <v>45828</v>
      </c>
      <c r="D2050" t="inlineStr">
        <is>
          <t>JÖNKÖPINGS LÄN</t>
        </is>
      </c>
      <c r="E2050" t="inlineStr">
        <is>
          <t>TRANÅS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38128-2020</t>
        </is>
      </c>
      <c r="B2051" s="1" t="n">
        <v>44059</v>
      </c>
      <c r="C2051" s="1" t="n">
        <v>45828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38321-2020</t>
        </is>
      </c>
      <c r="B2052" s="1" t="n">
        <v>44060</v>
      </c>
      <c r="C2052" s="1" t="n">
        <v>45828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38221-2020</t>
        </is>
      </c>
      <c r="B2053" s="1" t="n">
        <v>44060</v>
      </c>
      <c r="C2053" s="1" t="n">
        <v>45828</v>
      </c>
      <c r="D2053" t="inlineStr">
        <is>
          <t>JÖNKÖPINGS LÄN</t>
        </is>
      </c>
      <c r="E2053" t="inlineStr">
        <is>
          <t>ANEBY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38256-2020</t>
        </is>
      </c>
      <c r="B2054" s="1" t="n">
        <v>44060</v>
      </c>
      <c r="C2054" s="1" t="n">
        <v>45828</v>
      </c>
      <c r="D2054" t="inlineStr">
        <is>
          <t>JÖNKÖPINGS LÄN</t>
        </is>
      </c>
      <c r="E2054" t="inlineStr">
        <is>
          <t>JÖNKÖPING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38324-2020</t>
        </is>
      </c>
      <c r="B2055" s="1" t="n">
        <v>44060</v>
      </c>
      <c r="C2055" s="1" t="n">
        <v>45828</v>
      </c>
      <c r="D2055" t="inlineStr">
        <is>
          <t>JÖNKÖPINGS LÄN</t>
        </is>
      </c>
      <c r="E2055" t="inlineStr">
        <is>
          <t>VAGGERYD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38345-2020</t>
        </is>
      </c>
      <c r="B2056" s="1" t="n">
        <v>44060</v>
      </c>
      <c r="C2056" s="1" t="n">
        <v>45828</v>
      </c>
      <c r="D2056" t="inlineStr">
        <is>
          <t>JÖNKÖPINGS LÄN</t>
        </is>
      </c>
      <c r="E2056" t="inlineStr">
        <is>
          <t>EKSJÖ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38486-2020</t>
        </is>
      </c>
      <c r="B2057" s="1" t="n">
        <v>44060</v>
      </c>
      <c r="C2057" s="1" t="n">
        <v>45828</v>
      </c>
      <c r="D2057" t="inlineStr">
        <is>
          <t>JÖNKÖPINGS LÄN</t>
        </is>
      </c>
      <c r="E2057" t="inlineStr">
        <is>
          <t>NÄSSJÖ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38637-2020</t>
        </is>
      </c>
      <c r="B2058" s="1" t="n">
        <v>44061</v>
      </c>
      <c r="C2058" s="1" t="n">
        <v>45828</v>
      </c>
      <c r="D2058" t="inlineStr">
        <is>
          <t>JÖNKÖPINGS LÄN</t>
        </is>
      </c>
      <c r="E2058" t="inlineStr">
        <is>
          <t>NÄSSJÖ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38975-2020</t>
        </is>
      </c>
      <c r="B2059" s="1" t="n">
        <v>44062</v>
      </c>
      <c r="C2059" s="1" t="n">
        <v>45828</v>
      </c>
      <c r="D2059" t="inlineStr">
        <is>
          <t>JÖNKÖPINGS LÄN</t>
        </is>
      </c>
      <c r="E2059" t="inlineStr">
        <is>
          <t>TRANÅS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38982-2020</t>
        </is>
      </c>
      <c r="B2060" s="1" t="n">
        <v>44062</v>
      </c>
      <c r="C2060" s="1" t="n">
        <v>45828</v>
      </c>
      <c r="D2060" t="inlineStr">
        <is>
          <t>JÖNKÖPINGS LÄN</t>
        </is>
      </c>
      <c r="E2060" t="inlineStr">
        <is>
          <t>EKSJÖ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38800-2020</t>
        </is>
      </c>
      <c r="B2061" s="1" t="n">
        <v>44062</v>
      </c>
      <c r="C2061" s="1" t="n">
        <v>45828</v>
      </c>
      <c r="D2061" t="inlineStr">
        <is>
          <t>JÖNKÖPINGS LÄN</t>
        </is>
      </c>
      <c r="E2061" t="inlineStr">
        <is>
          <t>ANEBY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39010-2020</t>
        </is>
      </c>
      <c r="B2062" s="1" t="n">
        <v>44062</v>
      </c>
      <c r="C2062" s="1" t="n">
        <v>45828</v>
      </c>
      <c r="D2062" t="inlineStr">
        <is>
          <t>JÖNKÖPINGS LÄN</t>
        </is>
      </c>
      <c r="E2062" t="inlineStr">
        <is>
          <t>NÄSSJÖ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39138-2020</t>
        </is>
      </c>
      <c r="B2063" s="1" t="n">
        <v>44063</v>
      </c>
      <c r="C2063" s="1" t="n">
        <v>45828</v>
      </c>
      <c r="D2063" t="inlineStr">
        <is>
          <t>JÖNKÖPINGS LÄN</t>
        </is>
      </c>
      <c r="E2063" t="inlineStr">
        <is>
          <t>JÖNKÖPING</t>
        </is>
      </c>
      <c r="F2063" t="inlineStr">
        <is>
          <t>Sveaskog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39242-2020</t>
        </is>
      </c>
      <c r="B2064" s="1" t="n">
        <v>44063</v>
      </c>
      <c r="C2064" s="1" t="n">
        <v>45828</v>
      </c>
      <c r="D2064" t="inlineStr">
        <is>
          <t>JÖNKÖPINGS LÄN</t>
        </is>
      </c>
      <c r="E2064" t="inlineStr">
        <is>
          <t>GISLAVED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39317-2020</t>
        </is>
      </c>
      <c r="B2065" s="1" t="n">
        <v>44063</v>
      </c>
      <c r="C2065" s="1" t="n">
        <v>45828</v>
      </c>
      <c r="D2065" t="inlineStr">
        <is>
          <t>JÖNKÖPINGS LÄN</t>
        </is>
      </c>
      <c r="E2065" t="inlineStr">
        <is>
          <t>NÄSSJÖ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39304-2020</t>
        </is>
      </c>
      <c r="B2066" s="1" t="n">
        <v>44063</v>
      </c>
      <c r="C2066" s="1" t="n">
        <v>45828</v>
      </c>
      <c r="D2066" t="inlineStr">
        <is>
          <t>JÖNKÖPINGS LÄN</t>
        </is>
      </c>
      <c r="E2066" t="inlineStr">
        <is>
          <t>JÖNKÖPING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39442-2020</t>
        </is>
      </c>
      <c r="B2067" s="1" t="n">
        <v>44063</v>
      </c>
      <c r="C2067" s="1" t="n">
        <v>45828</v>
      </c>
      <c r="D2067" t="inlineStr">
        <is>
          <t>JÖNKÖPINGS LÄN</t>
        </is>
      </c>
      <c r="E2067" t="inlineStr">
        <is>
          <t>EKSJÖ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39482-2020</t>
        </is>
      </c>
      <c r="B2068" s="1" t="n">
        <v>44064</v>
      </c>
      <c r="C2068" s="1" t="n">
        <v>45828</v>
      </c>
      <c r="D2068" t="inlineStr">
        <is>
          <t>JÖNKÖPINGS LÄN</t>
        </is>
      </c>
      <c r="E2068" t="inlineStr">
        <is>
          <t>GISLAVED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39516-2020</t>
        </is>
      </c>
      <c r="B2069" s="1" t="n">
        <v>44064</v>
      </c>
      <c r="C2069" s="1" t="n">
        <v>45828</v>
      </c>
      <c r="D2069" t="inlineStr">
        <is>
          <t>JÖNKÖPINGS LÄN</t>
        </is>
      </c>
      <c r="E2069" t="inlineStr">
        <is>
          <t>JÖNKÖPING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39552-2020</t>
        </is>
      </c>
      <c r="B2070" s="1" t="n">
        <v>44064</v>
      </c>
      <c r="C2070" s="1" t="n">
        <v>45828</v>
      </c>
      <c r="D2070" t="inlineStr">
        <is>
          <t>JÖNKÖPINGS LÄN</t>
        </is>
      </c>
      <c r="E2070" t="inlineStr">
        <is>
          <t>GISLAVED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40099-2020</t>
        </is>
      </c>
      <c r="B2071" s="1" t="n">
        <v>44064</v>
      </c>
      <c r="C2071" s="1" t="n">
        <v>45828</v>
      </c>
      <c r="D2071" t="inlineStr">
        <is>
          <t>JÖNKÖPINGS LÄN</t>
        </is>
      </c>
      <c r="E2071" t="inlineStr">
        <is>
          <t>NÄSSJÖ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39404-2020</t>
        </is>
      </c>
      <c r="B2072" s="1" t="n">
        <v>44064</v>
      </c>
      <c r="C2072" s="1" t="n">
        <v>45828</v>
      </c>
      <c r="D2072" t="inlineStr">
        <is>
          <t>JÖNKÖPINGS LÄN</t>
        </is>
      </c>
      <c r="E2072" t="inlineStr">
        <is>
          <t>NÄSSJÖ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40090-2020</t>
        </is>
      </c>
      <c r="B2073" s="1" t="n">
        <v>44064</v>
      </c>
      <c r="C2073" s="1" t="n">
        <v>45828</v>
      </c>
      <c r="D2073" t="inlineStr">
        <is>
          <t>JÖNKÖPINGS LÄN</t>
        </is>
      </c>
      <c r="E2073" t="inlineStr">
        <is>
          <t>VETLANDA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39685-2020</t>
        </is>
      </c>
      <c r="B2074" s="1" t="n">
        <v>44066</v>
      </c>
      <c r="C2074" s="1" t="n">
        <v>45828</v>
      </c>
      <c r="D2074" t="inlineStr">
        <is>
          <t>JÖNKÖPINGS LÄN</t>
        </is>
      </c>
      <c r="E2074" t="inlineStr">
        <is>
          <t>NÄSSJÖ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39697-2020</t>
        </is>
      </c>
      <c r="B2075" s="1" t="n">
        <v>44066</v>
      </c>
      <c r="C2075" s="1" t="n">
        <v>45828</v>
      </c>
      <c r="D2075" t="inlineStr">
        <is>
          <t>JÖNKÖPINGS LÄN</t>
        </is>
      </c>
      <c r="E2075" t="inlineStr">
        <is>
          <t>GISLAVED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39687-2020</t>
        </is>
      </c>
      <c r="B2076" s="1" t="n">
        <v>44066</v>
      </c>
      <c r="C2076" s="1" t="n">
        <v>45828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39682-2020</t>
        </is>
      </c>
      <c r="B2077" s="1" t="n">
        <v>44066</v>
      </c>
      <c r="C2077" s="1" t="n">
        <v>45828</v>
      </c>
      <c r="D2077" t="inlineStr">
        <is>
          <t>JÖNKÖPINGS LÄN</t>
        </is>
      </c>
      <c r="E2077" t="inlineStr">
        <is>
          <t>JÖNKÖPING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39690-2020</t>
        </is>
      </c>
      <c r="B2078" s="1" t="n">
        <v>44066</v>
      </c>
      <c r="C2078" s="1" t="n">
        <v>45828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39698-2020</t>
        </is>
      </c>
      <c r="B2079" s="1" t="n">
        <v>44066</v>
      </c>
      <c r="C2079" s="1" t="n">
        <v>45828</v>
      </c>
      <c r="D2079" t="inlineStr">
        <is>
          <t>JÖNKÖPINGS LÄN</t>
        </is>
      </c>
      <c r="E2079" t="inlineStr">
        <is>
          <t>GISLAVED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39686-2020</t>
        </is>
      </c>
      <c r="B2080" s="1" t="n">
        <v>44066</v>
      </c>
      <c r="C2080" s="1" t="n">
        <v>45828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39764-2020</t>
        </is>
      </c>
      <c r="B2081" s="1" t="n">
        <v>44067</v>
      </c>
      <c r="C2081" s="1" t="n">
        <v>45828</v>
      </c>
      <c r="D2081" t="inlineStr">
        <is>
          <t>JÖNKÖPINGS LÄN</t>
        </is>
      </c>
      <c r="E2081" t="inlineStr">
        <is>
          <t>VÄRNAMO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40335-2020</t>
        </is>
      </c>
      <c r="B2082" s="1" t="n">
        <v>44067</v>
      </c>
      <c r="C2082" s="1" t="n">
        <v>45828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39989-2020</t>
        </is>
      </c>
      <c r="B2083" s="1" t="n">
        <v>44067</v>
      </c>
      <c r="C2083" s="1" t="n">
        <v>45828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40231-2020</t>
        </is>
      </c>
      <c r="B2084" s="1" t="n">
        <v>44068</v>
      </c>
      <c r="C2084" s="1" t="n">
        <v>45828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40101-2020</t>
        </is>
      </c>
      <c r="B2085" s="1" t="n">
        <v>44068</v>
      </c>
      <c r="C2085" s="1" t="n">
        <v>45828</v>
      </c>
      <c r="D2085" t="inlineStr">
        <is>
          <t>JÖNKÖPINGS LÄN</t>
        </is>
      </c>
      <c r="E2085" t="inlineStr">
        <is>
          <t>TRANÅS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40209-2020</t>
        </is>
      </c>
      <c r="B2086" s="1" t="n">
        <v>44068</v>
      </c>
      <c r="C2086" s="1" t="n">
        <v>45828</v>
      </c>
      <c r="D2086" t="inlineStr">
        <is>
          <t>JÖNKÖPINGS LÄN</t>
        </is>
      </c>
      <c r="E2086" t="inlineStr">
        <is>
          <t>VÄRNAMO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40273-2020</t>
        </is>
      </c>
      <c r="B2087" s="1" t="n">
        <v>44068</v>
      </c>
      <c r="C2087" s="1" t="n">
        <v>45828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40591-2020</t>
        </is>
      </c>
      <c r="B2088" s="1" t="n">
        <v>44069</v>
      </c>
      <c r="C2088" s="1" t="n">
        <v>45828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40598-2020</t>
        </is>
      </c>
      <c r="B2089" s="1" t="n">
        <v>44069</v>
      </c>
      <c r="C2089" s="1" t="n">
        <v>45828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40552-2020</t>
        </is>
      </c>
      <c r="B2090" s="1" t="n">
        <v>44069</v>
      </c>
      <c r="C2090" s="1" t="n">
        <v>45828</v>
      </c>
      <c r="D2090" t="inlineStr">
        <is>
          <t>JÖNKÖPINGS LÄN</t>
        </is>
      </c>
      <c r="E2090" t="inlineStr">
        <is>
          <t>EKSJÖ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40563-2020</t>
        </is>
      </c>
      <c r="B2091" s="1" t="n">
        <v>44069</v>
      </c>
      <c r="C2091" s="1" t="n">
        <v>45828</v>
      </c>
      <c r="D2091" t="inlineStr">
        <is>
          <t>JÖNKÖPINGS LÄN</t>
        </is>
      </c>
      <c r="E2091" t="inlineStr">
        <is>
          <t>VETLANDA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40602-2020</t>
        </is>
      </c>
      <c r="B2092" s="1" t="n">
        <v>44069</v>
      </c>
      <c r="C2092" s="1" t="n">
        <v>45828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40595-2020</t>
        </is>
      </c>
      <c r="B2093" s="1" t="n">
        <v>44069</v>
      </c>
      <c r="C2093" s="1" t="n">
        <v>45828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40720-2020</t>
        </is>
      </c>
      <c r="B2094" s="1" t="n">
        <v>44069</v>
      </c>
      <c r="C2094" s="1" t="n">
        <v>45828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40727-2020</t>
        </is>
      </c>
      <c r="B2095" s="1" t="n">
        <v>44069</v>
      </c>
      <c r="C2095" s="1" t="n">
        <v>45828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41526-2020</t>
        </is>
      </c>
      <c r="B2096" s="1" t="n">
        <v>44069</v>
      </c>
      <c r="C2096" s="1" t="n">
        <v>45828</v>
      </c>
      <c r="D2096" t="inlineStr">
        <is>
          <t>JÖNKÖPINGS LÄN</t>
        </is>
      </c>
      <c r="E2096" t="inlineStr">
        <is>
          <t>GISLAVED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40778-2020</t>
        </is>
      </c>
      <c r="B2097" s="1" t="n">
        <v>44070</v>
      </c>
      <c r="C2097" s="1" t="n">
        <v>45828</v>
      </c>
      <c r="D2097" t="inlineStr">
        <is>
          <t>JÖNKÖPINGS LÄN</t>
        </is>
      </c>
      <c r="E2097" t="inlineStr">
        <is>
          <t>SÄVSJÖ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40969-2020</t>
        </is>
      </c>
      <c r="B2098" s="1" t="n">
        <v>44070</v>
      </c>
      <c r="C2098" s="1" t="n">
        <v>45828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41551-2020</t>
        </is>
      </c>
      <c r="B2099" s="1" t="n">
        <v>44070</v>
      </c>
      <c r="C2099" s="1" t="n">
        <v>45828</v>
      </c>
      <c r="D2099" t="inlineStr">
        <is>
          <t>JÖNKÖPINGS LÄN</t>
        </is>
      </c>
      <c r="E2099" t="inlineStr">
        <is>
          <t>TRANÅS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41132-2020</t>
        </is>
      </c>
      <c r="B2100" s="1" t="n">
        <v>44071</v>
      </c>
      <c r="C2100" s="1" t="n">
        <v>45828</v>
      </c>
      <c r="D2100" t="inlineStr">
        <is>
          <t>JÖNKÖPINGS LÄN</t>
        </is>
      </c>
      <c r="E2100" t="inlineStr">
        <is>
          <t>VÄRNAMO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41152-2020</t>
        </is>
      </c>
      <c r="B2101" s="1" t="n">
        <v>44071</v>
      </c>
      <c r="C2101" s="1" t="n">
        <v>45828</v>
      </c>
      <c r="D2101" t="inlineStr">
        <is>
          <t>JÖNKÖPINGS LÄN</t>
        </is>
      </c>
      <c r="E2101" t="inlineStr">
        <is>
          <t>VÄRNAMO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41194-2020</t>
        </is>
      </c>
      <c r="B2102" s="1" t="n">
        <v>44071</v>
      </c>
      <c r="C2102" s="1" t="n">
        <v>45828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41713-2020</t>
        </is>
      </c>
      <c r="B2103" s="1" t="n">
        <v>44071</v>
      </c>
      <c r="C2103" s="1" t="n">
        <v>45828</v>
      </c>
      <c r="D2103" t="inlineStr">
        <is>
          <t>JÖNKÖPINGS LÄN</t>
        </is>
      </c>
      <c r="E2103" t="inlineStr">
        <is>
          <t>VETLANDA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41320-2020</t>
        </is>
      </c>
      <c r="B2104" s="1" t="n">
        <v>44071</v>
      </c>
      <c r="C2104" s="1" t="n">
        <v>45828</v>
      </c>
      <c r="D2104" t="inlineStr">
        <is>
          <t>JÖNKÖPINGS LÄN</t>
        </is>
      </c>
      <c r="E2104" t="inlineStr">
        <is>
          <t>VETLANDA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41520-2020</t>
        </is>
      </c>
      <c r="B2105" s="1" t="n">
        <v>44074</v>
      </c>
      <c r="C2105" s="1" t="n">
        <v>45828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Kommuner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41569-2020</t>
        </is>
      </c>
      <c r="B2106" s="1" t="n">
        <v>44074</v>
      </c>
      <c r="C2106" s="1" t="n">
        <v>45828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41505-2020</t>
        </is>
      </c>
      <c r="B2107" s="1" t="n">
        <v>44074</v>
      </c>
      <c r="C2107" s="1" t="n">
        <v>45828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41689-2020</t>
        </is>
      </c>
      <c r="B2108" s="1" t="n">
        <v>44074</v>
      </c>
      <c r="C2108" s="1" t="n">
        <v>45828</v>
      </c>
      <c r="D2108" t="inlineStr">
        <is>
          <t>JÖNKÖPINGS LÄN</t>
        </is>
      </c>
      <c r="E2108" t="inlineStr">
        <is>
          <t>JÖNKÖPING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41857-2020</t>
        </is>
      </c>
      <c r="B2109" s="1" t="n">
        <v>44074</v>
      </c>
      <c r="C2109" s="1" t="n">
        <v>45828</v>
      </c>
      <c r="D2109" t="inlineStr">
        <is>
          <t>JÖNKÖPINGS LÄN</t>
        </is>
      </c>
      <c r="E2109" t="inlineStr">
        <is>
          <t>TRANÅS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42023-2020</t>
        </is>
      </c>
      <c r="B2110" s="1" t="n">
        <v>44075</v>
      </c>
      <c r="C2110" s="1" t="n">
        <v>45828</v>
      </c>
      <c r="D2110" t="inlineStr">
        <is>
          <t>JÖNKÖPINGS LÄN</t>
        </is>
      </c>
      <c r="E2110" t="inlineStr">
        <is>
          <t>VETLANDA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41981-2020</t>
        </is>
      </c>
      <c r="B2111" s="1" t="n">
        <v>44075</v>
      </c>
      <c r="C2111" s="1" t="n">
        <v>45828</v>
      </c>
      <c r="D2111" t="inlineStr">
        <is>
          <t>JÖNKÖPINGS LÄN</t>
        </is>
      </c>
      <c r="E2111" t="inlineStr">
        <is>
          <t>JÖNKÖPING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41925-2020</t>
        </is>
      </c>
      <c r="B2112" s="1" t="n">
        <v>44075</v>
      </c>
      <c r="C2112" s="1" t="n">
        <v>45828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41960-2020</t>
        </is>
      </c>
      <c r="B2113" s="1" t="n">
        <v>44075</v>
      </c>
      <c r="C2113" s="1" t="n">
        <v>45828</v>
      </c>
      <c r="D2113" t="inlineStr">
        <is>
          <t>JÖNKÖPINGS LÄN</t>
        </is>
      </c>
      <c r="E2113" t="inlineStr">
        <is>
          <t>ANEBY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42368-2020</t>
        </is>
      </c>
      <c r="B2114" s="1" t="n">
        <v>44076</v>
      </c>
      <c r="C2114" s="1" t="n">
        <v>45828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42593-2020</t>
        </is>
      </c>
      <c r="B2115" s="1" t="n">
        <v>44077</v>
      </c>
      <c r="C2115" s="1" t="n">
        <v>45828</v>
      </c>
      <c r="D2115" t="inlineStr">
        <is>
          <t>JÖNKÖPINGS LÄN</t>
        </is>
      </c>
      <c r="E2115" t="inlineStr">
        <is>
          <t>JÖNKÖPING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43302-2020</t>
        </is>
      </c>
      <c r="B2116" s="1" t="n">
        <v>44077</v>
      </c>
      <c r="C2116" s="1" t="n">
        <v>45828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Övriga Aktiebolag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42797-2020</t>
        </is>
      </c>
      <c r="B2117" s="1" t="n">
        <v>44078</v>
      </c>
      <c r="C2117" s="1" t="n">
        <v>45828</v>
      </c>
      <c r="D2117" t="inlineStr">
        <is>
          <t>JÖNKÖPINGS LÄN</t>
        </is>
      </c>
      <c r="E2117" t="inlineStr">
        <is>
          <t>ANEBY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42904-2020</t>
        </is>
      </c>
      <c r="B2118" s="1" t="n">
        <v>44078</v>
      </c>
      <c r="C2118" s="1" t="n">
        <v>45828</v>
      </c>
      <c r="D2118" t="inlineStr">
        <is>
          <t>JÖNKÖPINGS LÄN</t>
        </is>
      </c>
      <c r="E2118" t="inlineStr">
        <is>
          <t>NÄSSJÖ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43041-2020</t>
        </is>
      </c>
      <c r="B2119" s="1" t="n">
        <v>44078</v>
      </c>
      <c r="C2119" s="1" t="n">
        <v>45828</v>
      </c>
      <c r="D2119" t="inlineStr">
        <is>
          <t>JÖNKÖPINGS LÄN</t>
        </is>
      </c>
      <c r="E2119" t="inlineStr">
        <is>
          <t>TRANÅS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42980-2020</t>
        </is>
      </c>
      <c r="B2120" s="1" t="n">
        <v>44078</v>
      </c>
      <c r="C2120" s="1" t="n">
        <v>45828</v>
      </c>
      <c r="D2120" t="inlineStr">
        <is>
          <t>JÖNKÖPINGS LÄN</t>
        </is>
      </c>
      <c r="E2120" t="inlineStr">
        <is>
          <t>VÄRNAMO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43038-2020</t>
        </is>
      </c>
      <c r="B2121" s="1" t="n">
        <v>44078</v>
      </c>
      <c r="C2121" s="1" t="n">
        <v>45828</v>
      </c>
      <c r="D2121" t="inlineStr">
        <is>
          <t>JÖNKÖPINGS LÄN</t>
        </is>
      </c>
      <c r="E2121" t="inlineStr">
        <is>
          <t>GISLAVED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43046-2020</t>
        </is>
      </c>
      <c r="B2122" s="1" t="n">
        <v>44078</v>
      </c>
      <c r="C2122" s="1" t="n">
        <v>45828</v>
      </c>
      <c r="D2122" t="inlineStr">
        <is>
          <t>JÖNKÖPINGS LÄN</t>
        </is>
      </c>
      <c r="E2122" t="inlineStr">
        <is>
          <t>EKSJÖ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43135-2020</t>
        </is>
      </c>
      <c r="B2123" s="1" t="n">
        <v>44080</v>
      </c>
      <c r="C2123" s="1" t="n">
        <v>45828</v>
      </c>
      <c r="D2123" t="inlineStr">
        <is>
          <t>JÖNKÖPINGS LÄN</t>
        </is>
      </c>
      <c r="E2123" t="inlineStr">
        <is>
          <t>VÄRNAMO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43361-2020</t>
        </is>
      </c>
      <c r="B2124" s="1" t="n">
        <v>44081</v>
      </c>
      <c r="C2124" s="1" t="n">
        <v>45828</v>
      </c>
      <c r="D2124" t="inlineStr">
        <is>
          <t>JÖNKÖPINGS LÄN</t>
        </is>
      </c>
      <c r="E2124" t="inlineStr">
        <is>
          <t>GNOSJÖ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43360-2020</t>
        </is>
      </c>
      <c r="B2125" s="1" t="n">
        <v>44081</v>
      </c>
      <c r="C2125" s="1" t="n">
        <v>45828</v>
      </c>
      <c r="D2125" t="inlineStr">
        <is>
          <t>JÖNKÖPINGS LÄN</t>
        </is>
      </c>
      <c r="E2125" t="inlineStr">
        <is>
          <t>GNOSJÖ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43173-2020</t>
        </is>
      </c>
      <c r="B2126" s="1" t="n">
        <v>44081</v>
      </c>
      <c r="C2126" s="1" t="n">
        <v>45828</v>
      </c>
      <c r="D2126" t="inlineStr">
        <is>
          <t>JÖNKÖPINGS LÄN</t>
        </is>
      </c>
      <c r="E2126" t="inlineStr">
        <is>
          <t>VAGGERYD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43196-2020</t>
        </is>
      </c>
      <c r="B2127" s="1" t="n">
        <v>44081</v>
      </c>
      <c r="C2127" s="1" t="n">
        <v>45828</v>
      </c>
      <c r="D2127" t="inlineStr">
        <is>
          <t>JÖNKÖPINGS LÄN</t>
        </is>
      </c>
      <c r="E2127" t="inlineStr">
        <is>
          <t>VAGGERYD</t>
        </is>
      </c>
      <c r="G2127" t="n">
        <v>8.800000000000001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43400-2020</t>
        </is>
      </c>
      <c r="B2128" s="1" t="n">
        <v>44081</v>
      </c>
      <c r="C2128" s="1" t="n">
        <v>45828</v>
      </c>
      <c r="D2128" t="inlineStr">
        <is>
          <t>JÖNKÖPINGS LÄN</t>
        </is>
      </c>
      <c r="E2128" t="inlineStr">
        <is>
          <t>GISLAVED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44131-2020</t>
        </is>
      </c>
      <c r="B2129" s="1" t="n">
        <v>44081</v>
      </c>
      <c r="C2129" s="1" t="n">
        <v>45828</v>
      </c>
      <c r="D2129" t="inlineStr">
        <is>
          <t>JÖNKÖPINGS LÄN</t>
        </is>
      </c>
      <c r="E2129" t="inlineStr">
        <is>
          <t>VETLANDA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44123-2020</t>
        </is>
      </c>
      <c r="B2130" s="1" t="n">
        <v>44081</v>
      </c>
      <c r="C2130" s="1" t="n">
        <v>45828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44107-2020</t>
        </is>
      </c>
      <c r="B2131" s="1" t="n">
        <v>44081</v>
      </c>
      <c r="C2131" s="1" t="n">
        <v>45828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Kyrkan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44136-2020</t>
        </is>
      </c>
      <c r="B2132" s="1" t="n">
        <v>44081</v>
      </c>
      <c r="C2132" s="1" t="n">
        <v>45828</v>
      </c>
      <c r="D2132" t="inlineStr">
        <is>
          <t>JÖNKÖPINGS LÄN</t>
        </is>
      </c>
      <c r="E2132" t="inlineStr">
        <is>
          <t>VETLANDA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43673-2020</t>
        </is>
      </c>
      <c r="B2133" s="1" t="n">
        <v>44082</v>
      </c>
      <c r="C2133" s="1" t="n">
        <v>45828</v>
      </c>
      <c r="D2133" t="inlineStr">
        <is>
          <t>JÖNKÖPINGS LÄN</t>
        </is>
      </c>
      <c r="E2133" t="inlineStr">
        <is>
          <t>JÖNKÖPING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43788-2020</t>
        </is>
      </c>
      <c r="B2134" s="1" t="n">
        <v>44082</v>
      </c>
      <c r="C2134" s="1" t="n">
        <v>45828</v>
      </c>
      <c r="D2134" t="inlineStr">
        <is>
          <t>JÖNKÖPINGS LÄN</t>
        </is>
      </c>
      <c r="E2134" t="inlineStr">
        <is>
          <t>JÖNKÖPING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43780-2020</t>
        </is>
      </c>
      <c r="B2135" s="1" t="n">
        <v>44082</v>
      </c>
      <c r="C2135" s="1" t="n">
        <v>45828</v>
      </c>
      <c r="D2135" t="inlineStr">
        <is>
          <t>JÖNKÖPINGS LÄN</t>
        </is>
      </c>
      <c r="E2135" t="inlineStr">
        <is>
          <t>JÖNKÖPING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43791-2020</t>
        </is>
      </c>
      <c r="B2136" s="1" t="n">
        <v>44082</v>
      </c>
      <c r="C2136" s="1" t="n">
        <v>45828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43959-2020</t>
        </is>
      </c>
      <c r="B2137" s="1" t="n">
        <v>44083</v>
      </c>
      <c r="C2137" s="1" t="n">
        <v>45828</v>
      </c>
      <c r="D2137" t="inlineStr">
        <is>
          <t>JÖNKÖPINGS LÄN</t>
        </is>
      </c>
      <c r="E2137" t="inlineStr">
        <is>
          <t>JÖNKÖPING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44030-2020</t>
        </is>
      </c>
      <c r="B2138" s="1" t="n">
        <v>44083</v>
      </c>
      <c r="C2138" s="1" t="n">
        <v>45828</v>
      </c>
      <c r="D2138" t="inlineStr">
        <is>
          <t>JÖNKÖPINGS LÄN</t>
        </is>
      </c>
      <c r="E2138" t="inlineStr">
        <is>
          <t>EKSJÖ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44164-2020</t>
        </is>
      </c>
      <c r="B2139" s="1" t="n">
        <v>44083</v>
      </c>
      <c r="C2139" s="1" t="n">
        <v>45828</v>
      </c>
      <c r="D2139" t="inlineStr">
        <is>
          <t>JÖNKÖPINGS LÄN</t>
        </is>
      </c>
      <c r="E2139" t="inlineStr">
        <is>
          <t>GISLAVED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44167-2020</t>
        </is>
      </c>
      <c r="B2140" s="1" t="n">
        <v>44083</v>
      </c>
      <c r="C2140" s="1" t="n">
        <v>45828</v>
      </c>
      <c r="D2140" t="inlineStr">
        <is>
          <t>JÖNKÖPINGS LÄN</t>
        </is>
      </c>
      <c r="E2140" t="inlineStr">
        <is>
          <t>GISLAVED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44171-2020</t>
        </is>
      </c>
      <c r="B2141" s="1" t="n">
        <v>44083</v>
      </c>
      <c r="C2141" s="1" t="n">
        <v>45828</v>
      </c>
      <c r="D2141" t="inlineStr">
        <is>
          <t>JÖNKÖPINGS LÄN</t>
        </is>
      </c>
      <c r="E2141" t="inlineStr">
        <is>
          <t>GISLAVED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44266-2020</t>
        </is>
      </c>
      <c r="B2142" s="1" t="n">
        <v>44084</v>
      </c>
      <c r="C2142" s="1" t="n">
        <v>45828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44279-2020</t>
        </is>
      </c>
      <c r="B2143" s="1" t="n">
        <v>44084</v>
      </c>
      <c r="C2143" s="1" t="n">
        <v>45828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44473-2020</t>
        </is>
      </c>
      <c r="B2144" s="1" t="n">
        <v>44084</v>
      </c>
      <c r="C2144" s="1" t="n">
        <v>45828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44488-2020</t>
        </is>
      </c>
      <c r="B2145" s="1" t="n">
        <v>44084</v>
      </c>
      <c r="C2145" s="1" t="n">
        <v>45828</v>
      </c>
      <c r="D2145" t="inlineStr">
        <is>
          <t>JÖNKÖPINGS LÄN</t>
        </is>
      </c>
      <c r="E2145" t="inlineStr">
        <is>
          <t>MULLSJÖ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44416-2020</t>
        </is>
      </c>
      <c r="B2146" s="1" t="n">
        <v>44084</v>
      </c>
      <c r="C2146" s="1" t="n">
        <v>45828</v>
      </c>
      <c r="D2146" t="inlineStr">
        <is>
          <t>JÖNKÖPINGS LÄN</t>
        </is>
      </c>
      <c r="E2146" t="inlineStr">
        <is>
          <t>JÖNKÖPING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44469-2020</t>
        </is>
      </c>
      <c r="B2147" s="1" t="n">
        <v>44084</v>
      </c>
      <c r="C2147" s="1" t="n">
        <v>45828</v>
      </c>
      <c r="D2147" t="inlineStr">
        <is>
          <t>JÖNKÖPINGS LÄN</t>
        </is>
      </c>
      <c r="E2147" t="inlineStr">
        <is>
          <t>VETLANDA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44454-2020</t>
        </is>
      </c>
      <c r="B2148" s="1" t="n">
        <v>44084</v>
      </c>
      <c r="C2148" s="1" t="n">
        <v>45828</v>
      </c>
      <c r="D2148" t="inlineStr">
        <is>
          <t>JÖNKÖPINGS LÄN</t>
        </is>
      </c>
      <c r="E2148" t="inlineStr">
        <is>
          <t>GNOSJÖ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45385-2020</t>
        </is>
      </c>
      <c r="B2149" s="1" t="n">
        <v>44084</v>
      </c>
      <c r="C2149" s="1" t="n">
        <v>45828</v>
      </c>
      <c r="D2149" t="inlineStr">
        <is>
          <t>JÖNKÖPINGS LÄN</t>
        </is>
      </c>
      <c r="E2149" t="inlineStr">
        <is>
          <t>GNOSJÖ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44607-2020</t>
        </is>
      </c>
      <c r="B2150" s="1" t="n">
        <v>44085</v>
      </c>
      <c r="C2150" s="1" t="n">
        <v>45828</v>
      </c>
      <c r="D2150" t="inlineStr">
        <is>
          <t>JÖNKÖPINGS LÄN</t>
        </is>
      </c>
      <c r="E2150" t="inlineStr">
        <is>
          <t>NÄSSJÖ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44843-2020</t>
        </is>
      </c>
      <c r="B2151" s="1" t="n">
        <v>44086</v>
      </c>
      <c r="C2151" s="1" t="n">
        <v>45828</v>
      </c>
      <c r="D2151" t="inlineStr">
        <is>
          <t>JÖNKÖPINGS LÄN</t>
        </is>
      </c>
      <c r="E2151" t="inlineStr">
        <is>
          <t>JÖNKÖPING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44888-2020</t>
        </is>
      </c>
      <c r="B2152" s="1" t="n">
        <v>44088</v>
      </c>
      <c r="C2152" s="1" t="n">
        <v>45828</v>
      </c>
      <c r="D2152" t="inlineStr">
        <is>
          <t>JÖNKÖPINGS LÄN</t>
        </is>
      </c>
      <c r="E2152" t="inlineStr">
        <is>
          <t>MULLSJÖ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45007-2020</t>
        </is>
      </c>
      <c r="B2153" s="1" t="n">
        <v>44088</v>
      </c>
      <c r="C2153" s="1" t="n">
        <v>45828</v>
      </c>
      <c r="D2153" t="inlineStr">
        <is>
          <t>JÖNKÖPINGS LÄN</t>
        </is>
      </c>
      <c r="E2153" t="inlineStr">
        <is>
          <t>ANEBY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44906-2020</t>
        </is>
      </c>
      <c r="B2154" s="1" t="n">
        <v>44088</v>
      </c>
      <c r="C2154" s="1" t="n">
        <v>45828</v>
      </c>
      <c r="D2154" t="inlineStr">
        <is>
          <t>JÖNKÖPINGS LÄN</t>
        </is>
      </c>
      <c r="E2154" t="inlineStr">
        <is>
          <t>JÖNKÖPING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45051-2020</t>
        </is>
      </c>
      <c r="B2155" s="1" t="n">
        <v>44088</v>
      </c>
      <c r="C2155" s="1" t="n">
        <v>45828</v>
      </c>
      <c r="D2155" t="inlineStr">
        <is>
          <t>JÖNKÖPINGS LÄN</t>
        </is>
      </c>
      <c r="E2155" t="inlineStr">
        <is>
          <t>GISLAVED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45112-2020</t>
        </is>
      </c>
      <c r="B2156" s="1" t="n">
        <v>44088</v>
      </c>
      <c r="C2156" s="1" t="n">
        <v>45828</v>
      </c>
      <c r="D2156" t="inlineStr">
        <is>
          <t>JÖNKÖPINGS LÄN</t>
        </is>
      </c>
      <c r="E2156" t="inlineStr">
        <is>
          <t>VETLANDA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46095-2020</t>
        </is>
      </c>
      <c r="B2157" s="1" t="n">
        <v>44088</v>
      </c>
      <c r="C2157" s="1" t="n">
        <v>45828</v>
      </c>
      <c r="D2157" t="inlineStr">
        <is>
          <t>JÖNKÖPINGS LÄN</t>
        </is>
      </c>
      <c r="E2157" t="inlineStr">
        <is>
          <t>VETLANDA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46086-2020</t>
        </is>
      </c>
      <c r="B2158" s="1" t="n">
        <v>44088</v>
      </c>
      <c r="C2158" s="1" t="n">
        <v>45828</v>
      </c>
      <c r="D2158" t="inlineStr">
        <is>
          <t>JÖNKÖPINGS LÄN</t>
        </is>
      </c>
      <c r="E2158" t="inlineStr">
        <is>
          <t>VETLANDA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45929-2020</t>
        </is>
      </c>
      <c r="B2159" s="1" t="n">
        <v>44088</v>
      </c>
      <c r="C2159" s="1" t="n">
        <v>45828</v>
      </c>
      <c r="D2159" t="inlineStr">
        <is>
          <t>JÖNKÖPINGS LÄN</t>
        </is>
      </c>
      <c r="E2159" t="inlineStr">
        <is>
          <t>SÄVSJÖ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44994-2020</t>
        </is>
      </c>
      <c r="B2160" s="1" t="n">
        <v>44088</v>
      </c>
      <c r="C2160" s="1" t="n">
        <v>45828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45332-2020</t>
        </is>
      </c>
      <c r="B2161" s="1" t="n">
        <v>44089</v>
      </c>
      <c r="C2161" s="1" t="n">
        <v>45828</v>
      </c>
      <c r="D2161" t="inlineStr">
        <is>
          <t>JÖNKÖPINGS LÄN</t>
        </is>
      </c>
      <c r="E2161" t="inlineStr">
        <is>
          <t>GNOSJÖ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45554-2020</t>
        </is>
      </c>
      <c r="B2162" s="1" t="n">
        <v>44089</v>
      </c>
      <c r="C2162" s="1" t="n">
        <v>45828</v>
      </c>
      <c r="D2162" t="inlineStr">
        <is>
          <t>JÖNKÖPINGS LÄN</t>
        </is>
      </c>
      <c r="E2162" t="inlineStr">
        <is>
          <t>NÄSSJÖ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45556-2020</t>
        </is>
      </c>
      <c r="B2163" s="1" t="n">
        <v>44089</v>
      </c>
      <c r="C2163" s="1" t="n">
        <v>45828</v>
      </c>
      <c r="D2163" t="inlineStr">
        <is>
          <t>JÖNKÖPINGS LÄN</t>
        </is>
      </c>
      <c r="E2163" t="inlineStr">
        <is>
          <t>NÄSSJÖ</t>
        </is>
      </c>
      <c r="G2163" t="n">
        <v>7.6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45583-2020</t>
        </is>
      </c>
      <c r="B2164" s="1" t="n">
        <v>44090</v>
      </c>
      <c r="C2164" s="1" t="n">
        <v>45828</v>
      </c>
      <c r="D2164" t="inlineStr">
        <is>
          <t>JÖNKÖPINGS LÄN</t>
        </is>
      </c>
      <c r="E2164" t="inlineStr">
        <is>
          <t>GISLAVED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45593-2020</t>
        </is>
      </c>
      <c r="B2165" s="1" t="n">
        <v>44090</v>
      </c>
      <c r="C2165" s="1" t="n">
        <v>45828</v>
      </c>
      <c r="D2165" t="inlineStr">
        <is>
          <t>JÖNKÖPINGS LÄN</t>
        </is>
      </c>
      <c r="E2165" t="inlineStr">
        <is>
          <t>JÖNKÖPING</t>
        </is>
      </c>
      <c r="G2165" t="n">
        <v>7.8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45704-2020</t>
        </is>
      </c>
      <c r="B2166" s="1" t="n">
        <v>44090</v>
      </c>
      <c r="C2166" s="1" t="n">
        <v>45828</v>
      </c>
      <c r="D2166" t="inlineStr">
        <is>
          <t>JÖNKÖPINGS LÄN</t>
        </is>
      </c>
      <c r="E2166" t="inlineStr">
        <is>
          <t>JÖNKÖPING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45726-2020</t>
        </is>
      </c>
      <c r="B2167" s="1" t="n">
        <v>44090</v>
      </c>
      <c r="C2167" s="1" t="n">
        <v>45828</v>
      </c>
      <c r="D2167" t="inlineStr">
        <is>
          <t>JÖNKÖPINGS LÄN</t>
        </is>
      </c>
      <c r="E2167" t="inlineStr">
        <is>
          <t>VAGGERYD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45908-2020</t>
        </is>
      </c>
      <c r="B2168" s="1" t="n">
        <v>44091</v>
      </c>
      <c r="C2168" s="1" t="n">
        <v>45828</v>
      </c>
      <c r="D2168" t="inlineStr">
        <is>
          <t>JÖNKÖPINGS LÄN</t>
        </is>
      </c>
      <c r="E2168" t="inlineStr">
        <is>
          <t>VAGGERYD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46094-2020</t>
        </is>
      </c>
      <c r="B2169" s="1" t="n">
        <v>44091</v>
      </c>
      <c r="C2169" s="1" t="n">
        <v>45828</v>
      </c>
      <c r="D2169" t="inlineStr">
        <is>
          <t>JÖNKÖPINGS LÄN</t>
        </is>
      </c>
      <c r="E2169" t="inlineStr">
        <is>
          <t>EKSJÖ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46087-2020</t>
        </is>
      </c>
      <c r="B2170" s="1" t="n">
        <v>44091</v>
      </c>
      <c r="C2170" s="1" t="n">
        <v>45828</v>
      </c>
      <c r="D2170" t="inlineStr">
        <is>
          <t>JÖNKÖPINGS LÄN</t>
        </is>
      </c>
      <c r="E2170" t="inlineStr">
        <is>
          <t>NÄSSJÖ</t>
        </is>
      </c>
      <c r="F2170" t="inlineStr">
        <is>
          <t>Sveaskog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46234-2020</t>
        </is>
      </c>
      <c r="B2171" s="1" t="n">
        <v>44092</v>
      </c>
      <c r="C2171" s="1" t="n">
        <v>45828</v>
      </c>
      <c r="D2171" t="inlineStr">
        <is>
          <t>JÖNKÖPINGS LÄN</t>
        </is>
      </c>
      <c r="E2171" t="inlineStr">
        <is>
          <t>JÖNKÖPING</t>
        </is>
      </c>
      <c r="G2171" t="n">
        <v>6.8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46155-2020</t>
        </is>
      </c>
      <c r="B2172" s="1" t="n">
        <v>44092</v>
      </c>
      <c r="C2172" s="1" t="n">
        <v>45828</v>
      </c>
      <c r="D2172" t="inlineStr">
        <is>
          <t>JÖNKÖPINGS LÄN</t>
        </is>
      </c>
      <c r="E2172" t="inlineStr">
        <is>
          <t>VÄRNAMO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46365-2020</t>
        </is>
      </c>
      <c r="B2173" s="1" t="n">
        <v>44092</v>
      </c>
      <c r="C2173" s="1" t="n">
        <v>45828</v>
      </c>
      <c r="D2173" t="inlineStr">
        <is>
          <t>JÖNKÖPINGS LÄN</t>
        </is>
      </c>
      <c r="E2173" t="inlineStr">
        <is>
          <t>VÄRNAMO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47211-2020</t>
        </is>
      </c>
      <c r="B2174" s="1" t="n">
        <v>44092</v>
      </c>
      <c r="C2174" s="1" t="n">
        <v>45828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47223-2020</t>
        </is>
      </c>
      <c r="B2175" s="1" t="n">
        <v>44092</v>
      </c>
      <c r="C2175" s="1" t="n">
        <v>45828</v>
      </c>
      <c r="D2175" t="inlineStr">
        <is>
          <t>JÖNKÖPINGS LÄN</t>
        </is>
      </c>
      <c r="E2175" t="inlineStr">
        <is>
          <t>VAGGERYD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47183-2020</t>
        </is>
      </c>
      <c r="B2176" s="1" t="n">
        <v>44092</v>
      </c>
      <c r="C2176" s="1" t="n">
        <v>45828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47219-2020</t>
        </is>
      </c>
      <c r="B2177" s="1" t="n">
        <v>44092</v>
      </c>
      <c r="C2177" s="1" t="n">
        <v>45828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47215-2020</t>
        </is>
      </c>
      <c r="B2178" s="1" t="n">
        <v>44092</v>
      </c>
      <c r="C2178" s="1" t="n">
        <v>45828</v>
      </c>
      <c r="D2178" t="inlineStr">
        <is>
          <t>JÖNKÖPINGS LÄN</t>
        </is>
      </c>
      <c r="E2178" t="inlineStr">
        <is>
          <t>VETLANDA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46157-2020</t>
        </is>
      </c>
      <c r="B2179" s="1" t="n">
        <v>44092</v>
      </c>
      <c r="C2179" s="1" t="n">
        <v>45828</v>
      </c>
      <c r="D2179" t="inlineStr">
        <is>
          <t>JÖNKÖPINGS LÄN</t>
        </is>
      </c>
      <c r="E2179" t="inlineStr">
        <is>
          <t>VÄRNAMO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46389-2020</t>
        </is>
      </c>
      <c r="B2180" s="1" t="n">
        <v>44093</v>
      </c>
      <c r="C2180" s="1" t="n">
        <v>45828</v>
      </c>
      <c r="D2180" t="inlineStr">
        <is>
          <t>JÖNKÖPINGS LÄN</t>
        </is>
      </c>
      <c r="E2180" t="inlineStr">
        <is>
          <t>JÖNKÖPING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46623-2020</t>
        </is>
      </c>
      <c r="B2181" s="1" t="n">
        <v>44095</v>
      </c>
      <c r="C2181" s="1" t="n">
        <v>45828</v>
      </c>
      <c r="D2181" t="inlineStr">
        <is>
          <t>JÖNKÖPINGS LÄN</t>
        </is>
      </c>
      <c r="E2181" t="inlineStr">
        <is>
          <t>VÄRNAMO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46746-2020</t>
        </is>
      </c>
      <c r="B2182" s="1" t="n">
        <v>44095</v>
      </c>
      <c r="C2182" s="1" t="n">
        <v>45828</v>
      </c>
      <c r="D2182" t="inlineStr">
        <is>
          <t>JÖNKÖPINGS LÄN</t>
        </is>
      </c>
      <c r="E2182" t="inlineStr">
        <is>
          <t>MULLSJÖ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46703-2020</t>
        </is>
      </c>
      <c r="B2183" s="1" t="n">
        <v>44095</v>
      </c>
      <c r="C2183" s="1" t="n">
        <v>45828</v>
      </c>
      <c r="D2183" t="inlineStr">
        <is>
          <t>JÖNKÖPINGS LÄN</t>
        </is>
      </c>
      <c r="E2183" t="inlineStr">
        <is>
          <t>VETLANDA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46737-2020</t>
        </is>
      </c>
      <c r="B2184" s="1" t="n">
        <v>44095</v>
      </c>
      <c r="C2184" s="1" t="n">
        <v>45828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46710-2020</t>
        </is>
      </c>
      <c r="B2185" s="1" t="n">
        <v>44095</v>
      </c>
      <c r="C2185" s="1" t="n">
        <v>45828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46730-2020</t>
        </is>
      </c>
      <c r="B2186" s="1" t="n">
        <v>44095</v>
      </c>
      <c r="C2186" s="1" t="n">
        <v>45828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46747-2020</t>
        </is>
      </c>
      <c r="B2187" s="1" t="n">
        <v>44095</v>
      </c>
      <c r="C2187" s="1" t="n">
        <v>45828</v>
      </c>
      <c r="D2187" t="inlineStr">
        <is>
          <t>JÖNKÖPINGS LÄN</t>
        </is>
      </c>
      <c r="E2187" t="inlineStr">
        <is>
          <t>MULLSJÖ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46704-2020</t>
        </is>
      </c>
      <c r="B2188" s="1" t="n">
        <v>44095</v>
      </c>
      <c r="C2188" s="1" t="n">
        <v>45828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46878-2020</t>
        </is>
      </c>
      <c r="B2189" s="1" t="n">
        <v>44096</v>
      </c>
      <c r="C2189" s="1" t="n">
        <v>45828</v>
      </c>
      <c r="D2189" t="inlineStr">
        <is>
          <t>JÖNKÖPINGS LÄN</t>
        </is>
      </c>
      <c r="E2189" t="inlineStr">
        <is>
          <t>EKSJÖ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46941-2020</t>
        </is>
      </c>
      <c r="B2190" s="1" t="n">
        <v>44096</v>
      </c>
      <c r="C2190" s="1" t="n">
        <v>45828</v>
      </c>
      <c r="D2190" t="inlineStr">
        <is>
          <t>JÖNKÖPINGS LÄN</t>
        </is>
      </c>
      <c r="E2190" t="inlineStr">
        <is>
          <t>ANEBY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46943-2020</t>
        </is>
      </c>
      <c r="B2191" s="1" t="n">
        <v>44096</v>
      </c>
      <c r="C2191" s="1" t="n">
        <v>45828</v>
      </c>
      <c r="D2191" t="inlineStr">
        <is>
          <t>JÖNKÖPINGS LÄN</t>
        </is>
      </c>
      <c r="E2191" t="inlineStr">
        <is>
          <t>ANEBY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47246-2020</t>
        </is>
      </c>
      <c r="B2192" s="1" t="n">
        <v>44097</v>
      </c>
      <c r="C2192" s="1" t="n">
        <v>45828</v>
      </c>
      <c r="D2192" t="inlineStr">
        <is>
          <t>JÖNKÖPINGS LÄN</t>
        </is>
      </c>
      <c r="E2192" t="inlineStr">
        <is>
          <t>ANEBY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47302-2020</t>
        </is>
      </c>
      <c r="B2193" s="1" t="n">
        <v>44097</v>
      </c>
      <c r="C2193" s="1" t="n">
        <v>45828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47450-2020</t>
        </is>
      </c>
      <c r="B2194" s="1" t="n">
        <v>44097</v>
      </c>
      <c r="C2194" s="1" t="n">
        <v>45828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47477-2020</t>
        </is>
      </c>
      <c r="B2195" s="1" t="n">
        <v>44098</v>
      </c>
      <c r="C2195" s="1" t="n">
        <v>45828</v>
      </c>
      <c r="D2195" t="inlineStr">
        <is>
          <t>JÖNKÖPINGS LÄN</t>
        </is>
      </c>
      <c r="E2195" t="inlineStr">
        <is>
          <t>TRANÅS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47525-2020</t>
        </is>
      </c>
      <c r="B2196" s="1" t="n">
        <v>44098</v>
      </c>
      <c r="C2196" s="1" t="n">
        <v>45828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48678-2020</t>
        </is>
      </c>
      <c r="B2197" s="1" t="n">
        <v>44098</v>
      </c>
      <c r="C2197" s="1" t="n">
        <v>45828</v>
      </c>
      <c r="D2197" t="inlineStr">
        <is>
          <t>JÖNKÖPINGS LÄN</t>
        </is>
      </c>
      <c r="E2197" t="inlineStr">
        <is>
          <t>ANEBY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47922-2020</t>
        </is>
      </c>
      <c r="B2198" s="1" t="n">
        <v>44099</v>
      </c>
      <c r="C2198" s="1" t="n">
        <v>45828</v>
      </c>
      <c r="D2198" t="inlineStr">
        <is>
          <t>JÖNKÖPINGS LÄN</t>
        </is>
      </c>
      <c r="E2198" t="inlineStr">
        <is>
          <t>NÄSSJÖ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47962-2020</t>
        </is>
      </c>
      <c r="B2199" s="1" t="n">
        <v>44099</v>
      </c>
      <c r="C2199" s="1" t="n">
        <v>45828</v>
      </c>
      <c r="D2199" t="inlineStr">
        <is>
          <t>JÖNKÖPINGS LÄN</t>
        </is>
      </c>
      <c r="E2199" t="inlineStr">
        <is>
          <t>NÄSSJÖ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48050-2020</t>
        </is>
      </c>
      <c r="B2200" s="1" t="n">
        <v>44099</v>
      </c>
      <c r="C2200" s="1" t="n">
        <v>45828</v>
      </c>
      <c r="D2200" t="inlineStr">
        <is>
          <t>JÖNKÖPINGS LÄN</t>
        </is>
      </c>
      <c r="E2200" t="inlineStr">
        <is>
          <t>GISLAVED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48064-2020</t>
        </is>
      </c>
      <c r="B2201" s="1" t="n">
        <v>44100</v>
      </c>
      <c r="C2201" s="1" t="n">
        <v>45828</v>
      </c>
      <c r="D2201" t="inlineStr">
        <is>
          <t>JÖNKÖPINGS LÄN</t>
        </is>
      </c>
      <c r="E2201" t="inlineStr">
        <is>
          <t>GISLAVED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48168-2020</t>
        </is>
      </c>
      <c r="B2202" s="1" t="n">
        <v>44102</v>
      </c>
      <c r="C2202" s="1" t="n">
        <v>45828</v>
      </c>
      <c r="D2202" t="inlineStr">
        <is>
          <t>JÖNKÖPINGS LÄN</t>
        </is>
      </c>
      <c r="E2202" t="inlineStr">
        <is>
          <t>NÄSSJÖ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48184-2020</t>
        </is>
      </c>
      <c r="B2203" s="1" t="n">
        <v>44102</v>
      </c>
      <c r="C2203" s="1" t="n">
        <v>45828</v>
      </c>
      <c r="D2203" t="inlineStr">
        <is>
          <t>JÖNKÖPINGS LÄN</t>
        </is>
      </c>
      <c r="E2203" t="inlineStr">
        <is>
          <t>TRANÅS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48174-2020</t>
        </is>
      </c>
      <c r="B2204" s="1" t="n">
        <v>44102</v>
      </c>
      <c r="C2204" s="1" t="n">
        <v>45828</v>
      </c>
      <c r="D2204" t="inlineStr">
        <is>
          <t>JÖNKÖPINGS LÄN</t>
        </is>
      </c>
      <c r="E2204" t="inlineStr">
        <is>
          <t>NÄSSJÖ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48297-2020</t>
        </is>
      </c>
      <c r="B2205" s="1" t="n">
        <v>44102</v>
      </c>
      <c r="C2205" s="1" t="n">
        <v>45828</v>
      </c>
      <c r="D2205" t="inlineStr">
        <is>
          <t>JÖNKÖPINGS LÄN</t>
        </is>
      </c>
      <c r="E2205" t="inlineStr">
        <is>
          <t>EKSJÖ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48920-2020</t>
        </is>
      </c>
      <c r="B2206" s="1" t="n">
        <v>44102</v>
      </c>
      <c r="C2206" s="1" t="n">
        <v>45828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48455-2020</t>
        </is>
      </c>
      <c r="B2207" s="1" t="n">
        <v>44102</v>
      </c>
      <c r="C2207" s="1" t="n">
        <v>45828</v>
      </c>
      <c r="D2207" t="inlineStr">
        <is>
          <t>JÖNKÖPINGS LÄN</t>
        </is>
      </c>
      <c r="E2207" t="inlineStr">
        <is>
          <t>EKSJÖ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48924-2020</t>
        </is>
      </c>
      <c r="B2208" s="1" t="n">
        <v>44102</v>
      </c>
      <c r="C2208" s="1" t="n">
        <v>45828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48456-2020</t>
        </is>
      </c>
      <c r="B2209" s="1" t="n">
        <v>44102</v>
      </c>
      <c r="C2209" s="1" t="n">
        <v>45828</v>
      </c>
      <c r="D2209" t="inlineStr">
        <is>
          <t>JÖNKÖPINGS LÄN</t>
        </is>
      </c>
      <c r="E2209" t="inlineStr">
        <is>
          <t>EKSJÖ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48885-2020</t>
        </is>
      </c>
      <c r="B2210" s="1" t="n">
        <v>44102</v>
      </c>
      <c r="C2210" s="1" t="n">
        <v>45828</v>
      </c>
      <c r="D2210" t="inlineStr">
        <is>
          <t>JÖNKÖPINGS LÄN</t>
        </is>
      </c>
      <c r="E2210" t="inlineStr">
        <is>
          <t>NÄSSJÖ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49395-2020</t>
        </is>
      </c>
      <c r="B2211" s="1" t="n">
        <v>44102</v>
      </c>
      <c r="C2211" s="1" t="n">
        <v>45828</v>
      </c>
      <c r="D2211" t="inlineStr">
        <is>
          <t>JÖNKÖPINGS LÄN</t>
        </is>
      </c>
      <c r="E2211" t="inlineStr">
        <is>
          <t>VAGGERYD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48874-2020</t>
        </is>
      </c>
      <c r="B2212" s="1" t="n">
        <v>44102</v>
      </c>
      <c r="C2212" s="1" t="n">
        <v>45828</v>
      </c>
      <c r="D2212" t="inlineStr">
        <is>
          <t>JÖNKÖPINGS LÄN</t>
        </is>
      </c>
      <c r="E2212" t="inlineStr">
        <is>
          <t>NÄSSJÖ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48614-2020</t>
        </is>
      </c>
      <c r="B2213" s="1" t="n">
        <v>44103</v>
      </c>
      <c r="C2213" s="1" t="n">
        <v>45828</v>
      </c>
      <c r="D2213" t="inlineStr">
        <is>
          <t>JÖNKÖPINGS LÄN</t>
        </is>
      </c>
      <c r="E2213" t="inlineStr">
        <is>
          <t>JÖNKÖPING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48582-2020</t>
        </is>
      </c>
      <c r="B2214" s="1" t="n">
        <v>44103</v>
      </c>
      <c r="C2214" s="1" t="n">
        <v>45828</v>
      </c>
      <c r="D2214" t="inlineStr">
        <is>
          <t>JÖNKÖPINGS LÄN</t>
        </is>
      </c>
      <c r="E2214" t="inlineStr">
        <is>
          <t>SÄVSJÖ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48685-2020</t>
        </is>
      </c>
      <c r="B2215" s="1" t="n">
        <v>44103</v>
      </c>
      <c r="C2215" s="1" t="n">
        <v>45828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48747-2020</t>
        </is>
      </c>
      <c r="B2216" s="1" t="n">
        <v>44103</v>
      </c>
      <c r="C2216" s="1" t="n">
        <v>45828</v>
      </c>
      <c r="D2216" t="inlineStr">
        <is>
          <t>JÖNKÖPINGS LÄN</t>
        </is>
      </c>
      <c r="E2216" t="inlineStr">
        <is>
          <t>GISLAVED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48950-2020</t>
        </is>
      </c>
      <c r="B2217" s="1" t="n">
        <v>44104</v>
      </c>
      <c r="C2217" s="1" t="n">
        <v>45828</v>
      </c>
      <c r="D2217" t="inlineStr">
        <is>
          <t>JÖNKÖPINGS LÄN</t>
        </is>
      </c>
      <c r="E2217" t="inlineStr">
        <is>
          <t>JÖNKÖPING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48982-2020</t>
        </is>
      </c>
      <c r="B2218" s="1" t="n">
        <v>44104</v>
      </c>
      <c r="C2218" s="1" t="n">
        <v>45828</v>
      </c>
      <c r="D2218" t="inlineStr">
        <is>
          <t>JÖNKÖPINGS LÄN</t>
        </is>
      </c>
      <c r="E2218" t="inlineStr">
        <is>
          <t>GNOSJÖ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49214-2020</t>
        </is>
      </c>
      <c r="B2219" s="1" t="n">
        <v>44105</v>
      </c>
      <c r="C2219" s="1" t="n">
        <v>45828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49218-2020</t>
        </is>
      </c>
      <c r="B2220" s="1" t="n">
        <v>44105</v>
      </c>
      <c r="C2220" s="1" t="n">
        <v>45828</v>
      </c>
      <c r="D2220" t="inlineStr">
        <is>
          <t>JÖNKÖPINGS LÄN</t>
        </is>
      </c>
      <c r="E2220" t="inlineStr">
        <is>
          <t>TRANÅS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49240-2020</t>
        </is>
      </c>
      <c r="B2221" s="1" t="n">
        <v>44105</v>
      </c>
      <c r="C2221" s="1" t="n">
        <v>45828</v>
      </c>
      <c r="D2221" t="inlineStr">
        <is>
          <t>JÖNKÖPINGS LÄN</t>
        </is>
      </c>
      <c r="E2221" t="inlineStr">
        <is>
          <t>EKSJÖ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49480-2020</t>
        </is>
      </c>
      <c r="B2222" s="1" t="n">
        <v>44105</v>
      </c>
      <c r="C2222" s="1" t="n">
        <v>45828</v>
      </c>
      <c r="D2222" t="inlineStr">
        <is>
          <t>JÖNKÖPINGS LÄN</t>
        </is>
      </c>
      <c r="E2222" t="inlineStr">
        <is>
          <t>TRANÅS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50388-2020</t>
        </is>
      </c>
      <c r="B2223" s="1" t="n">
        <v>44105</v>
      </c>
      <c r="C2223" s="1" t="n">
        <v>45828</v>
      </c>
      <c r="D2223" t="inlineStr">
        <is>
          <t>JÖNKÖPINGS LÄN</t>
        </is>
      </c>
      <c r="E2223" t="inlineStr">
        <is>
          <t>NÄSSJÖ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50836-2020</t>
        </is>
      </c>
      <c r="B2224" s="1" t="n">
        <v>44105</v>
      </c>
      <c r="C2224" s="1" t="n">
        <v>45828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Kyrkan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50389-2020</t>
        </is>
      </c>
      <c r="B2225" s="1" t="n">
        <v>44105</v>
      </c>
      <c r="C2225" s="1" t="n">
        <v>45828</v>
      </c>
      <c r="D2225" t="inlineStr">
        <is>
          <t>JÖNKÖPINGS LÄN</t>
        </is>
      </c>
      <c r="E2225" t="inlineStr">
        <is>
          <t>NÄSSJÖ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49595-2020</t>
        </is>
      </c>
      <c r="B2226" s="1" t="n">
        <v>44106</v>
      </c>
      <c r="C2226" s="1" t="n">
        <v>45828</v>
      </c>
      <c r="D2226" t="inlineStr">
        <is>
          <t>JÖNKÖPINGS LÄN</t>
        </is>
      </c>
      <c r="E2226" t="inlineStr">
        <is>
          <t>VETLANDA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49666-2020</t>
        </is>
      </c>
      <c r="B2227" s="1" t="n">
        <v>44106</v>
      </c>
      <c r="C2227" s="1" t="n">
        <v>45828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49585-2020</t>
        </is>
      </c>
      <c r="B2228" s="1" t="n">
        <v>44106</v>
      </c>
      <c r="C2228" s="1" t="n">
        <v>45828</v>
      </c>
      <c r="D2228" t="inlineStr">
        <is>
          <t>JÖNKÖPINGS LÄN</t>
        </is>
      </c>
      <c r="E2228" t="inlineStr">
        <is>
          <t>NÄSSJÖ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51229-2020</t>
        </is>
      </c>
      <c r="B2229" s="1" t="n">
        <v>44106</v>
      </c>
      <c r="C2229" s="1" t="n">
        <v>45828</v>
      </c>
      <c r="D2229" t="inlineStr">
        <is>
          <t>JÖNKÖPINGS LÄN</t>
        </is>
      </c>
      <c r="E2229" t="inlineStr">
        <is>
          <t>VETLANDA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51225-2020</t>
        </is>
      </c>
      <c r="B2230" s="1" t="n">
        <v>44106</v>
      </c>
      <c r="C2230" s="1" t="n">
        <v>45828</v>
      </c>
      <c r="D2230" t="inlineStr">
        <is>
          <t>JÖNKÖPINGS LÄN</t>
        </is>
      </c>
      <c r="E2230" t="inlineStr">
        <is>
          <t>VETLANDA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50205-2020</t>
        </is>
      </c>
      <c r="B2231" s="1" t="n">
        <v>44109</v>
      </c>
      <c r="C2231" s="1" t="n">
        <v>45828</v>
      </c>
      <c r="D2231" t="inlineStr">
        <is>
          <t>JÖNKÖPINGS LÄN</t>
        </is>
      </c>
      <c r="E2231" t="inlineStr">
        <is>
          <t>JÖNKÖPING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50114-2020</t>
        </is>
      </c>
      <c r="B2232" s="1" t="n">
        <v>44109</v>
      </c>
      <c r="C2232" s="1" t="n">
        <v>45828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50088-2020</t>
        </is>
      </c>
      <c r="B2233" s="1" t="n">
        <v>44109</v>
      </c>
      <c r="C2233" s="1" t="n">
        <v>45828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49989-2020</t>
        </is>
      </c>
      <c r="B2234" s="1" t="n">
        <v>44109</v>
      </c>
      <c r="C2234" s="1" t="n">
        <v>45828</v>
      </c>
      <c r="D2234" t="inlineStr">
        <is>
          <t>JÖNKÖPINGS LÄN</t>
        </is>
      </c>
      <c r="E2234" t="inlineStr">
        <is>
          <t>SÄVSJÖ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49987-2020</t>
        </is>
      </c>
      <c r="B2235" s="1" t="n">
        <v>44109</v>
      </c>
      <c r="C2235" s="1" t="n">
        <v>45828</v>
      </c>
      <c r="D2235" t="inlineStr">
        <is>
          <t>JÖNKÖPINGS LÄN</t>
        </is>
      </c>
      <c r="E2235" t="inlineStr">
        <is>
          <t>SÄVSJÖ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50299-2020</t>
        </is>
      </c>
      <c r="B2236" s="1" t="n">
        <v>44110</v>
      </c>
      <c r="C2236" s="1" t="n">
        <v>45828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50555-2020</t>
        </is>
      </c>
      <c r="B2237" s="1" t="n">
        <v>44110</v>
      </c>
      <c r="C2237" s="1" t="n">
        <v>45828</v>
      </c>
      <c r="D2237" t="inlineStr">
        <is>
          <t>JÖNKÖPINGS LÄN</t>
        </is>
      </c>
      <c r="E2237" t="inlineStr">
        <is>
          <t>VETLANDA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50561-2020</t>
        </is>
      </c>
      <c r="B2238" s="1" t="n">
        <v>44110</v>
      </c>
      <c r="C2238" s="1" t="n">
        <v>45828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50579-2020</t>
        </is>
      </c>
      <c r="B2239" s="1" t="n">
        <v>44110</v>
      </c>
      <c r="C2239" s="1" t="n">
        <v>45828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50533-2020</t>
        </is>
      </c>
      <c r="B2240" s="1" t="n">
        <v>44110</v>
      </c>
      <c r="C2240" s="1" t="n">
        <v>45828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52706-2020</t>
        </is>
      </c>
      <c r="B2241" s="1" t="n">
        <v>44110</v>
      </c>
      <c r="C2241" s="1" t="n">
        <v>45828</v>
      </c>
      <c r="D2241" t="inlineStr">
        <is>
          <t>JÖNKÖPINGS LÄN</t>
        </is>
      </c>
      <c r="E2241" t="inlineStr">
        <is>
          <t>VETLANDA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50683-2020</t>
        </is>
      </c>
      <c r="B2242" s="1" t="n">
        <v>44111</v>
      </c>
      <c r="C2242" s="1" t="n">
        <v>45828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50685-2020</t>
        </is>
      </c>
      <c r="B2243" s="1" t="n">
        <v>44111</v>
      </c>
      <c r="C2243" s="1" t="n">
        <v>45828</v>
      </c>
      <c r="D2243" t="inlineStr">
        <is>
          <t>JÖNKÖPINGS LÄN</t>
        </is>
      </c>
      <c r="E2243" t="inlineStr">
        <is>
          <t>VÄRNAMO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50872-2020</t>
        </is>
      </c>
      <c r="B2244" s="1" t="n">
        <v>44111</v>
      </c>
      <c r="C2244" s="1" t="n">
        <v>45828</v>
      </c>
      <c r="D2244" t="inlineStr">
        <is>
          <t>JÖNKÖPINGS LÄN</t>
        </is>
      </c>
      <c r="E2244" t="inlineStr">
        <is>
          <t>GISLAVED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50928-2020</t>
        </is>
      </c>
      <c r="B2245" s="1" t="n">
        <v>44111</v>
      </c>
      <c r="C2245" s="1" t="n">
        <v>45828</v>
      </c>
      <c r="D2245" t="inlineStr">
        <is>
          <t>JÖNKÖPINGS LÄN</t>
        </is>
      </c>
      <c r="E2245" t="inlineStr">
        <is>
          <t>JÖNKÖPING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50889-2020</t>
        </is>
      </c>
      <c r="B2246" s="1" t="n">
        <v>44111</v>
      </c>
      <c r="C2246" s="1" t="n">
        <v>45828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Kyrkan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50901-2020</t>
        </is>
      </c>
      <c r="B2247" s="1" t="n">
        <v>44111</v>
      </c>
      <c r="C2247" s="1" t="n">
        <v>45828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Kyrkan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51238-2020</t>
        </is>
      </c>
      <c r="B2248" s="1" t="n">
        <v>44112</v>
      </c>
      <c r="C2248" s="1" t="n">
        <v>45828</v>
      </c>
      <c r="D2248" t="inlineStr">
        <is>
          <t>JÖNKÖPINGS LÄN</t>
        </is>
      </c>
      <c r="E2248" t="inlineStr">
        <is>
          <t>NÄSSJÖ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51220-2020</t>
        </is>
      </c>
      <c r="B2249" s="1" t="n">
        <v>44112</v>
      </c>
      <c r="C2249" s="1" t="n">
        <v>45828</v>
      </c>
      <c r="D2249" t="inlineStr">
        <is>
          <t>JÖNKÖPINGS LÄN</t>
        </is>
      </c>
      <c r="E2249" t="inlineStr">
        <is>
          <t>TRANÅS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51451-2020</t>
        </is>
      </c>
      <c r="B2250" s="1" t="n">
        <v>44113</v>
      </c>
      <c r="C2250" s="1" t="n">
        <v>45828</v>
      </c>
      <c r="D2250" t="inlineStr">
        <is>
          <t>JÖNKÖPINGS LÄN</t>
        </is>
      </c>
      <c r="E2250" t="inlineStr">
        <is>
          <t>JÖNKÖPING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51462-2020</t>
        </is>
      </c>
      <c r="B2251" s="1" t="n">
        <v>44113</v>
      </c>
      <c r="C2251" s="1" t="n">
        <v>45828</v>
      </c>
      <c r="D2251" t="inlineStr">
        <is>
          <t>JÖNKÖPINGS LÄN</t>
        </is>
      </c>
      <c r="E2251" t="inlineStr">
        <is>
          <t>JÖNKÖPING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51620-2020</t>
        </is>
      </c>
      <c r="B2252" s="1" t="n">
        <v>44113</v>
      </c>
      <c r="C2252" s="1" t="n">
        <v>45828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51733-2020</t>
        </is>
      </c>
      <c r="B2253" s="1" t="n">
        <v>44114</v>
      </c>
      <c r="C2253" s="1" t="n">
        <v>45828</v>
      </c>
      <c r="D2253" t="inlineStr">
        <is>
          <t>JÖNKÖPINGS LÄN</t>
        </is>
      </c>
      <c r="E2253" t="inlineStr">
        <is>
          <t>GNOSJÖ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51734-2020</t>
        </is>
      </c>
      <c r="B2254" s="1" t="n">
        <v>44114</v>
      </c>
      <c r="C2254" s="1" t="n">
        <v>45828</v>
      </c>
      <c r="D2254" t="inlineStr">
        <is>
          <t>JÖNKÖPINGS LÄN</t>
        </is>
      </c>
      <c r="E2254" t="inlineStr">
        <is>
          <t>GNOSJÖ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51763-2020</t>
        </is>
      </c>
      <c r="B2255" s="1" t="n">
        <v>44115</v>
      </c>
      <c r="C2255" s="1" t="n">
        <v>45828</v>
      </c>
      <c r="D2255" t="inlineStr">
        <is>
          <t>JÖNKÖPINGS LÄN</t>
        </is>
      </c>
      <c r="E2255" t="inlineStr">
        <is>
          <t>GNOSJÖ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52449-2020</t>
        </is>
      </c>
      <c r="B2256" s="1" t="n">
        <v>44116</v>
      </c>
      <c r="C2256" s="1" t="n">
        <v>45828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51792-2020</t>
        </is>
      </c>
      <c r="B2257" s="1" t="n">
        <v>44116</v>
      </c>
      <c r="C2257" s="1" t="n">
        <v>45828</v>
      </c>
      <c r="D2257" t="inlineStr">
        <is>
          <t>JÖNKÖPINGS LÄN</t>
        </is>
      </c>
      <c r="E2257" t="inlineStr">
        <is>
          <t>TRANÅS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51884-2020</t>
        </is>
      </c>
      <c r="B2258" s="1" t="n">
        <v>44116</v>
      </c>
      <c r="C2258" s="1" t="n">
        <v>45828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51842-2020</t>
        </is>
      </c>
      <c r="B2259" s="1" t="n">
        <v>44116</v>
      </c>
      <c r="C2259" s="1" t="n">
        <v>45828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51978-2020</t>
        </is>
      </c>
      <c r="B2260" s="1" t="n">
        <v>44116</v>
      </c>
      <c r="C2260" s="1" t="n">
        <v>45828</v>
      </c>
      <c r="D2260" t="inlineStr">
        <is>
          <t>JÖNKÖPINGS LÄN</t>
        </is>
      </c>
      <c r="E2260" t="inlineStr">
        <is>
          <t>ANEBY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52161-2020</t>
        </is>
      </c>
      <c r="B2261" s="1" t="n">
        <v>44117</v>
      </c>
      <c r="C2261" s="1" t="n">
        <v>45828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52193-2020</t>
        </is>
      </c>
      <c r="B2262" s="1" t="n">
        <v>44117</v>
      </c>
      <c r="C2262" s="1" t="n">
        <v>45828</v>
      </c>
      <c r="D2262" t="inlineStr">
        <is>
          <t>JÖNKÖPINGS LÄN</t>
        </is>
      </c>
      <c r="E2262" t="inlineStr">
        <is>
          <t>VETLANDA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52499-2020</t>
        </is>
      </c>
      <c r="B2263" s="1" t="n">
        <v>44118</v>
      </c>
      <c r="C2263" s="1" t="n">
        <v>45828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52392-2020</t>
        </is>
      </c>
      <c r="B2264" s="1" t="n">
        <v>44118</v>
      </c>
      <c r="C2264" s="1" t="n">
        <v>45828</v>
      </c>
      <c r="D2264" t="inlineStr">
        <is>
          <t>JÖNKÖPINGS LÄN</t>
        </is>
      </c>
      <c r="E2264" t="inlineStr">
        <is>
          <t>GISLAVED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52501-2020</t>
        </is>
      </c>
      <c r="B2265" s="1" t="n">
        <v>44118</v>
      </c>
      <c r="C2265" s="1" t="n">
        <v>45828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52400-2020</t>
        </is>
      </c>
      <c r="B2266" s="1" t="n">
        <v>44118</v>
      </c>
      <c r="C2266" s="1" t="n">
        <v>45828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52475-2020</t>
        </is>
      </c>
      <c r="B2267" s="1" t="n">
        <v>44118</v>
      </c>
      <c r="C2267" s="1" t="n">
        <v>45828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15.4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52498-2020</t>
        </is>
      </c>
      <c r="B2268" s="1" t="n">
        <v>44118</v>
      </c>
      <c r="C2268" s="1" t="n">
        <v>45828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52494-2020</t>
        </is>
      </c>
      <c r="B2269" s="1" t="n">
        <v>44118</v>
      </c>
      <c r="C2269" s="1" t="n">
        <v>45828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52503-2020</t>
        </is>
      </c>
      <c r="B2270" s="1" t="n">
        <v>44118</v>
      </c>
      <c r="C2270" s="1" t="n">
        <v>45828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52506-2020</t>
        </is>
      </c>
      <c r="B2271" s="1" t="n">
        <v>44118</v>
      </c>
      <c r="C2271" s="1" t="n">
        <v>45828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52831-2020</t>
        </is>
      </c>
      <c r="B2272" s="1" t="n">
        <v>44119</v>
      </c>
      <c r="C2272" s="1" t="n">
        <v>45828</v>
      </c>
      <c r="D2272" t="inlineStr">
        <is>
          <t>JÖNKÖPINGS LÄN</t>
        </is>
      </c>
      <c r="E2272" t="inlineStr">
        <is>
          <t>GISLAVED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52783-2020</t>
        </is>
      </c>
      <c r="B2273" s="1" t="n">
        <v>44119</v>
      </c>
      <c r="C2273" s="1" t="n">
        <v>45828</v>
      </c>
      <c r="D2273" t="inlineStr">
        <is>
          <t>JÖNKÖPINGS LÄN</t>
        </is>
      </c>
      <c r="E2273" t="inlineStr">
        <is>
          <t>NÄSSJÖ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52912-2020</t>
        </is>
      </c>
      <c r="B2274" s="1" t="n">
        <v>44120</v>
      </c>
      <c r="C2274" s="1" t="n">
        <v>45828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52932-2020</t>
        </is>
      </c>
      <c r="B2275" s="1" t="n">
        <v>44120</v>
      </c>
      <c r="C2275" s="1" t="n">
        <v>45828</v>
      </c>
      <c r="D2275" t="inlineStr">
        <is>
          <t>JÖNKÖPINGS LÄN</t>
        </is>
      </c>
      <c r="E2275" t="inlineStr">
        <is>
          <t>VAGGERYD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53123-2020</t>
        </is>
      </c>
      <c r="B2276" s="1" t="n">
        <v>44120</v>
      </c>
      <c r="C2276" s="1" t="n">
        <v>45828</v>
      </c>
      <c r="D2276" t="inlineStr">
        <is>
          <t>JÖNKÖPINGS LÄN</t>
        </is>
      </c>
      <c r="E2276" t="inlineStr">
        <is>
          <t>VETLANDA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53134-2020</t>
        </is>
      </c>
      <c r="B2277" s="1" t="n">
        <v>44120</v>
      </c>
      <c r="C2277" s="1" t="n">
        <v>45828</v>
      </c>
      <c r="D2277" t="inlineStr">
        <is>
          <t>JÖNKÖPINGS LÄN</t>
        </is>
      </c>
      <c r="E2277" t="inlineStr">
        <is>
          <t>VETLANDA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53117-2020</t>
        </is>
      </c>
      <c r="B2278" s="1" t="n">
        <v>44120</v>
      </c>
      <c r="C2278" s="1" t="n">
        <v>45828</v>
      </c>
      <c r="D2278" t="inlineStr">
        <is>
          <t>JÖNKÖPINGS LÄN</t>
        </is>
      </c>
      <c r="E2278" t="inlineStr">
        <is>
          <t>VETLANDA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53055-2020</t>
        </is>
      </c>
      <c r="B2279" s="1" t="n">
        <v>44120</v>
      </c>
      <c r="C2279" s="1" t="n">
        <v>45828</v>
      </c>
      <c r="D2279" t="inlineStr">
        <is>
          <t>JÖNKÖPINGS LÄN</t>
        </is>
      </c>
      <c r="E2279" t="inlineStr">
        <is>
          <t>EKSJÖ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53187-2020</t>
        </is>
      </c>
      <c r="B2280" s="1" t="n">
        <v>44121</v>
      </c>
      <c r="C2280" s="1" t="n">
        <v>45828</v>
      </c>
      <c r="D2280" t="inlineStr">
        <is>
          <t>JÖNKÖPINGS LÄN</t>
        </is>
      </c>
      <c r="E2280" t="inlineStr">
        <is>
          <t>NÄSSJÖ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53266-2020</t>
        </is>
      </c>
      <c r="B2281" s="1" t="n">
        <v>44123</v>
      </c>
      <c r="C2281" s="1" t="n">
        <v>45828</v>
      </c>
      <c r="D2281" t="inlineStr">
        <is>
          <t>JÖNKÖPINGS LÄN</t>
        </is>
      </c>
      <c r="E2281" t="inlineStr">
        <is>
          <t>EKSJÖ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53451-2020</t>
        </is>
      </c>
      <c r="B2282" s="1" t="n">
        <v>44123</v>
      </c>
      <c r="C2282" s="1" t="n">
        <v>45828</v>
      </c>
      <c r="D2282" t="inlineStr">
        <is>
          <t>JÖNKÖPINGS LÄN</t>
        </is>
      </c>
      <c r="E2282" t="inlineStr">
        <is>
          <t>NÄSSJÖ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54221-2020</t>
        </is>
      </c>
      <c r="B2283" s="1" t="n">
        <v>44123</v>
      </c>
      <c r="C2283" s="1" t="n">
        <v>45828</v>
      </c>
      <c r="D2283" t="inlineStr">
        <is>
          <t>JÖNKÖPINGS LÄN</t>
        </is>
      </c>
      <c r="E2283" t="inlineStr">
        <is>
          <t>VAGGERYD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53558-2020</t>
        </is>
      </c>
      <c r="B2284" s="1" t="n">
        <v>44124</v>
      </c>
      <c r="C2284" s="1" t="n">
        <v>45828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53630-2020</t>
        </is>
      </c>
      <c r="B2285" s="1" t="n">
        <v>44124</v>
      </c>
      <c r="C2285" s="1" t="n">
        <v>45828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53626-2020</t>
        </is>
      </c>
      <c r="B2286" s="1" t="n">
        <v>44124</v>
      </c>
      <c r="C2286" s="1" t="n">
        <v>45828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53959-2020</t>
        </is>
      </c>
      <c r="B2287" s="1" t="n">
        <v>44125</v>
      </c>
      <c r="C2287" s="1" t="n">
        <v>45828</v>
      </c>
      <c r="D2287" t="inlineStr">
        <is>
          <t>JÖNKÖPINGS LÄN</t>
        </is>
      </c>
      <c r="E2287" t="inlineStr">
        <is>
          <t>VÄRNAMO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54167-2020</t>
        </is>
      </c>
      <c r="B2288" s="1" t="n">
        <v>44125</v>
      </c>
      <c r="C2288" s="1" t="n">
        <v>45828</v>
      </c>
      <c r="D2288" t="inlineStr">
        <is>
          <t>JÖNKÖPINGS LÄN</t>
        </is>
      </c>
      <c r="E2288" t="inlineStr">
        <is>
          <t>TRANÅS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54029-2020</t>
        </is>
      </c>
      <c r="B2289" s="1" t="n">
        <v>44125</v>
      </c>
      <c r="C2289" s="1" t="n">
        <v>45828</v>
      </c>
      <c r="D2289" t="inlineStr">
        <is>
          <t>JÖNKÖPINGS LÄN</t>
        </is>
      </c>
      <c r="E2289" t="inlineStr">
        <is>
          <t>ANEBY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54488-2020</t>
        </is>
      </c>
      <c r="B2290" s="1" t="n">
        <v>44125</v>
      </c>
      <c r="C2290" s="1" t="n">
        <v>45828</v>
      </c>
      <c r="D2290" t="inlineStr">
        <is>
          <t>JÖNKÖPINGS LÄN</t>
        </is>
      </c>
      <c r="E2290" t="inlineStr">
        <is>
          <t>EKSJÖ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54499-2020</t>
        </is>
      </c>
      <c r="B2291" s="1" t="n">
        <v>44125</v>
      </c>
      <c r="C2291" s="1" t="n">
        <v>45828</v>
      </c>
      <c r="D2291" t="inlineStr">
        <is>
          <t>JÖNKÖPINGS LÄN</t>
        </is>
      </c>
      <c r="E2291" t="inlineStr">
        <is>
          <t>EKSJÖ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54506-2020</t>
        </is>
      </c>
      <c r="B2292" s="1" t="n">
        <v>44125</v>
      </c>
      <c r="C2292" s="1" t="n">
        <v>45828</v>
      </c>
      <c r="D2292" t="inlineStr">
        <is>
          <t>JÖNKÖPINGS LÄN</t>
        </is>
      </c>
      <c r="E2292" t="inlineStr">
        <is>
          <t>EKSJÖ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54473-2020</t>
        </is>
      </c>
      <c r="B2293" s="1" t="n">
        <v>44126</v>
      </c>
      <c r="C2293" s="1" t="n">
        <v>45828</v>
      </c>
      <c r="D2293" t="inlineStr">
        <is>
          <t>JÖNKÖPINGS LÄN</t>
        </is>
      </c>
      <c r="E2293" t="inlineStr">
        <is>
          <t>VÄRNAMO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54550-2020</t>
        </is>
      </c>
      <c r="B2294" s="1" t="n">
        <v>44126</v>
      </c>
      <c r="C2294" s="1" t="n">
        <v>45828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54612-2020</t>
        </is>
      </c>
      <c r="B2295" s="1" t="n">
        <v>44127</v>
      </c>
      <c r="C2295" s="1" t="n">
        <v>45828</v>
      </c>
      <c r="D2295" t="inlineStr">
        <is>
          <t>JÖNKÖPINGS LÄN</t>
        </is>
      </c>
      <c r="E2295" t="inlineStr">
        <is>
          <t>GNOSJÖ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54773-2020</t>
        </is>
      </c>
      <c r="B2296" s="1" t="n">
        <v>44127</v>
      </c>
      <c r="C2296" s="1" t="n">
        <v>45828</v>
      </c>
      <c r="D2296" t="inlineStr">
        <is>
          <t>JÖNKÖPINGS LÄN</t>
        </is>
      </c>
      <c r="E2296" t="inlineStr">
        <is>
          <t>EKSJÖ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54723-2020</t>
        </is>
      </c>
      <c r="B2297" s="1" t="n">
        <v>44127</v>
      </c>
      <c r="C2297" s="1" t="n">
        <v>45828</v>
      </c>
      <c r="D2297" t="inlineStr">
        <is>
          <t>JÖNKÖPINGS LÄN</t>
        </is>
      </c>
      <c r="E2297" t="inlineStr">
        <is>
          <t>GNOSJÖ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54902-2020</t>
        </is>
      </c>
      <c r="B2298" s="1" t="n">
        <v>44128</v>
      </c>
      <c r="C2298" s="1" t="n">
        <v>45828</v>
      </c>
      <c r="D2298" t="inlineStr">
        <is>
          <t>JÖNKÖPINGS LÄN</t>
        </is>
      </c>
      <c r="E2298" t="inlineStr">
        <is>
          <t>NÄSSJÖ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55101-2020</t>
        </is>
      </c>
      <c r="B2299" s="1" t="n">
        <v>44130</v>
      </c>
      <c r="C2299" s="1" t="n">
        <v>45828</v>
      </c>
      <c r="D2299" t="inlineStr">
        <is>
          <t>JÖNKÖPINGS LÄN</t>
        </is>
      </c>
      <c r="E2299" t="inlineStr">
        <is>
          <t>JÖNKÖPING</t>
        </is>
      </c>
      <c r="G2299" t="n">
        <v>11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55416-2020</t>
        </is>
      </c>
      <c r="B2300" s="1" t="n">
        <v>44130</v>
      </c>
      <c r="C2300" s="1" t="n">
        <v>45828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55420-2020</t>
        </is>
      </c>
      <c r="B2301" s="1" t="n">
        <v>44130</v>
      </c>
      <c r="C2301" s="1" t="n">
        <v>45828</v>
      </c>
      <c r="D2301" t="inlineStr">
        <is>
          <t>JÖNKÖPINGS LÄN</t>
        </is>
      </c>
      <c r="E2301" t="inlineStr">
        <is>
          <t>ANEBY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55391-2020</t>
        </is>
      </c>
      <c r="B2302" s="1" t="n">
        <v>44130</v>
      </c>
      <c r="C2302" s="1" t="n">
        <v>45828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55788-2020</t>
        </is>
      </c>
      <c r="B2303" s="1" t="n">
        <v>44132</v>
      </c>
      <c r="C2303" s="1" t="n">
        <v>45828</v>
      </c>
      <c r="D2303" t="inlineStr">
        <is>
          <t>JÖNKÖPINGS LÄN</t>
        </is>
      </c>
      <c r="E2303" t="inlineStr">
        <is>
          <t>HABO</t>
        </is>
      </c>
      <c r="F2303" t="inlineStr">
        <is>
          <t>Sveaskog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55699-2020</t>
        </is>
      </c>
      <c r="B2304" s="1" t="n">
        <v>44132</v>
      </c>
      <c r="C2304" s="1" t="n">
        <v>45828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55706-2020</t>
        </is>
      </c>
      <c r="B2305" s="1" t="n">
        <v>44132</v>
      </c>
      <c r="C2305" s="1" t="n">
        <v>45828</v>
      </c>
      <c r="D2305" t="inlineStr">
        <is>
          <t>JÖNKÖPINGS LÄN</t>
        </is>
      </c>
      <c r="E2305" t="inlineStr">
        <is>
          <t>VETLANDA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55799-2020</t>
        </is>
      </c>
      <c r="B2306" s="1" t="n">
        <v>44132</v>
      </c>
      <c r="C2306" s="1" t="n">
        <v>45828</v>
      </c>
      <c r="D2306" t="inlineStr">
        <is>
          <t>JÖNKÖPINGS LÄN</t>
        </is>
      </c>
      <c r="E2306" t="inlineStr">
        <is>
          <t>SÄVSJÖ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55803-2020</t>
        </is>
      </c>
      <c r="B2307" s="1" t="n">
        <v>44132</v>
      </c>
      <c r="C2307" s="1" t="n">
        <v>45828</v>
      </c>
      <c r="D2307" t="inlineStr">
        <is>
          <t>JÖNKÖPINGS LÄN</t>
        </is>
      </c>
      <c r="E2307" t="inlineStr">
        <is>
          <t>SÄVSJÖ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55918-2020</t>
        </is>
      </c>
      <c r="B2308" s="1" t="n">
        <v>44132</v>
      </c>
      <c r="C2308" s="1" t="n">
        <v>45828</v>
      </c>
      <c r="D2308" t="inlineStr">
        <is>
          <t>JÖNKÖPINGS LÄN</t>
        </is>
      </c>
      <c r="E2308" t="inlineStr">
        <is>
          <t>NÄSSJÖ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56142-2020</t>
        </is>
      </c>
      <c r="B2309" s="1" t="n">
        <v>44132</v>
      </c>
      <c r="C2309" s="1" t="n">
        <v>45828</v>
      </c>
      <c r="D2309" t="inlineStr">
        <is>
          <t>JÖNKÖPINGS LÄN</t>
        </is>
      </c>
      <c r="E2309" t="inlineStr">
        <is>
          <t>TRANÅS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56028-2020</t>
        </is>
      </c>
      <c r="B2310" s="1" t="n">
        <v>44133</v>
      </c>
      <c r="C2310" s="1" t="n">
        <v>45828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56177-2020</t>
        </is>
      </c>
      <c r="B2311" s="1" t="n">
        <v>44133</v>
      </c>
      <c r="C2311" s="1" t="n">
        <v>45828</v>
      </c>
      <c r="D2311" t="inlineStr">
        <is>
          <t>JÖNKÖPINGS LÄN</t>
        </is>
      </c>
      <c r="E2311" t="inlineStr">
        <is>
          <t>GNOSJÖ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55941-2020</t>
        </is>
      </c>
      <c r="B2312" s="1" t="n">
        <v>44133</v>
      </c>
      <c r="C2312" s="1" t="n">
        <v>45828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Övriga statliga verk och myndigheter</t>
        </is>
      </c>
      <c r="G2312" t="n">
        <v>9.699999999999999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56031-2020</t>
        </is>
      </c>
      <c r="B2313" s="1" t="n">
        <v>44133</v>
      </c>
      <c r="C2313" s="1" t="n">
        <v>45828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56344-2020</t>
        </is>
      </c>
      <c r="B2314" s="1" t="n">
        <v>44134</v>
      </c>
      <c r="C2314" s="1" t="n">
        <v>45828</v>
      </c>
      <c r="D2314" t="inlineStr">
        <is>
          <t>JÖNKÖPINGS LÄN</t>
        </is>
      </c>
      <c r="E2314" t="inlineStr">
        <is>
          <t>SÄVSJÖ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56330-2020</t>
        </is>
      </c>
      <c r="B2315" s="1" t="n">
        <v>44134</v>
      </c>
      <c r="C2315" s="1" t="n">
        <v>45828</v>
      </c>
      <c r="D2315" t="inlineStr">
        <is>
          <t>JÖNKÖPINGS LÄN</t>
        </is>
      </c>
      <c r="E2315" t="inlineStr">
        <is>
          <t>SÄVSJÖ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56548-2020</t>
        </is>
      </c>
      <c r="B2316" s="1" t="n">
        <v>44137</v>
      </c>
      <c r="C2316" s="1" t="n">
        <v>45828</v>
      </c>
      <c r="D2316" t="inlineStr">
        <is>
          <t>JÖNKÖPINGS LÄN</t>
        </is>
      </c>
      <c r="E2316" t="inlineStr">
        <is>
          <t>VETLANDA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56610-2020</t>
        </is>
      </c>
      <c r="B2317" s="1" t="n">
        <v>44137</v>
      </c>
      <c r="C2317" s="1" t="n">
        <v>45828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56700-2020</t>
        </is>
      </c>
      <c r="B2318" s="1" t="n">
        <v>44137</v>
      </c>
      <c r="C2318" s="1" t="n">
        <v>45828</v>
      </c>
      <c r="D2318" t="inlineStr">
        <is>
          <t>JÖNKÖPINGS LÄN</t>
        </is>
      </c>
      <c r="E2318" t="inlineStr">
        <is>
          <t>JÖNKÖPING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56704-2020</t>
        </is>
      </c>
      <c r="B2319" s="1" t="n">
        <v>44137</v>
      </c>
      <c r="C2319" s="1" t="n">
        <v>45828</v>
      </c>
      <c r="D2319" t="inlineStr">
        <is>
          <t>JÖNKÖPINGS LÄN</t>
        </is>
      </c>
      <c r="E2319" t="inlineStr">
        <is>
          <t>JÖNKÖPING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56917-2020</t>
        </is>
      </c>
      <c r="B2320" s="1" t="n">
        <v>44137</v>
      </c>
      <c r="C2320" s="1" t="n">
        <v>45828</v>
      </c>
      <c r="D2320" t="inlineStr">
        <is>
          <t>JÖNKÖPINGS LÄN</t>
        </is>
      </c>
      <c r="E2320" t="inlineStr">
        <is>
          <t>HABO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57002-2020</t>
        </is>
      </c>
      <c r="B2321" s="1" t="n">
        <v>44137</v>
      </c>
      <c r="C2321" s="1" t="n">
        <v>45828</v>
      </c>
      <c r="D2321" t="inlineStr">
        <is>
          <t>JÖNKÖPINGS LÄN</t>
        </is>
      </c>
      <c r="E2321" t="inlineStr">
        <is>
          <t>EKSJÖ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56784-2020</t>
        </is>
      </c>
      <c r="B2322" s="1" t="n">
        <v>44138</v>
      </c>
      <c r="C2322" s="1" t="n">
        <v>45828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56796-2020</t>
        </is>
      </c>
      <c r="B2323" s="1" t="n">
        <v>44138</v>
      </c>
      <c r="C2323" s="1" t="n">
        <v>45828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56852-2020</t>
        </is>
      </c>
      <c r="B2324" s="1" t="n">
        <v>44138</v>
      </c>
      <c r="C2324" s="1" t="n">
        <v>45828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57059-2020</t>
        </is>
      </c>
      <c r="B2325" s="1" t="n">
        <v>44138</v>
      </c>
      <c r="C2325" s="1" t="n">
        <v>45828</v>
      </c>
      <c r="D2325" t="inlineStr">
        <is>
          <t>JÖNKÖPINGS LÄN</t>
        </is>
      </c>
      <c r="E2325" t="inlineStr">
        <is>
          <t>EKSJÖ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56997-2020</t>
        </is>
      </c>
      <c r="B2326" s="1" t="n">
        <v>44138</v>
      </c>
      <c r="C2326" s="1" t="n">
        <v>45828</v>
      </c>
      <c r="D2326" t="inlineStr">
        <is>
          <t>JÖNKÖPINGS LÄN</t>
        </is>
      </c>
      <c r="E2326" t="inlineStr">
        <is>
          <t>GISLAVED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56795-2020</t>
        </is>
      </c>
      <c r="B2327" s="1" t="n">
        <v>44138</v>
      </c>
      <c r="C2327" s="1" t="n">
        <v>45828</v>
      </c>
      <c r="D2327" t="inlineStr">
        <is>
          <t>JÖNKÖPINGS LÄN</t>
        </is>
      </c>
      <c r="E2327" t="inlineStr">
        <is>
          <t>JÖNKÖPING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57134-2020</t>
        </is>
      </c>
      <c r="B2328" s="1" t="n">
        <v>44139</v>
      </c>
      <c r="C2328" s="1" t="n">
        <v>45828</v>
      </c>
      <c r="D2328" t="inlineStr">
        <is>
          <t>JÖNKÖPINGS LÄN</t>
        </is>
      </c>
      <c r="E2328" t="inlineStr">
        <is>
          <t>SÄVSJÖ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57200-2020</t>
        </is>
      </c>
      <c r="B2329" s="1" t="n">
        <v>44139</v>
      </c>
      <c r="C2329" s="1" t="n">
        <v>45828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57274-2020</t>
        </is>
      </c>
      <c r="B2330" s="1" t="n">
        <v>44139</v>
      </c>
      <c r="C2330" s="1" t="n">
        <v>45828</v>
      </c>
      <c r="D2330" t="inlineStr">
        <is>
          <t>JÖNKÖPINGS LÄN</t>
        </is>
      </c>
      <c r="E2330" t="inlineStr">
        <is>
          <t>VÄRNAMO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57278-2020</t>
        </is>
      </c>
      <c r="B2331" s="1" t="n">
        <v>44139</v>
      </c>
      <c r="C2331" s="1" t="n">
        <v>45828</v>
      </c>
      <c r="D2331" t="inlineStr">
        <is>
          <t>JÖNKÖPINGS LÄN</t>
        </is>
      </c>
      <c r="E2331" t="inlineStr">
        <is>
          <t>VÄRNAMO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57307-2020</t>
        </is>
      </c>
      <c r="B2332" s="1" t="n">
        <v>44139</v>
      </c>
      <c r="C2332" s="1" t="n">
        <v>45828</v>
      </c>
      <c r="D2332" t="inlineStr">
        <is>
          <t>JÖNKÖPINGS LÄN</t>
        </is>
      </c>
      <c r="E2332" t="inlineStr">
        <is>
          <t>NÄSSJÖ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57338-2020</t>
        </is>
      </c>
      <c r="B2333" s="1" t="n">
        <v>44139</v>
      </c>
      <c r="C2333" s="1" t="n">
        <v>45828</v>
      </c>
      <c r="D2333" t="inlineStr">
        <is>
          <t>JÖNKÖPINGS LÄN</t>
        </is>
      </c>
      <c r="E2333" t="inlineStr">
        <is>
          <t>EKSJÖ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57582-2020</t>
        </is>
      </c>
      <c r="B2334" s="1" t="n">
        <v>44139</v>
      </c>
      <c r="C2334" s="1" t="n">
        <v>45828</v>
      </c>
      <c r="D2334" t="inlineStr">
        <is>
          <t>JÖNKÖPINGS LÄN</t>
        </is>
      </c>
      <c r="E2334" t="inlineStr">
        <is>
          <t>VETLANDA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57424-2020</t>
        </is>
      </c>
      <c r="B2335" s="1" t="n">
        <v>44140</v>
      </c>
      <c r="C2335" s="1" t="n">
        <v>45828</v>
      </c>
      <c r="D2335" t="inlineStr">
        <is>
          <t>JÖNKÖPINGS LÄN</t>
        </is>
      </c>
      <c r="E2335" t="inlineStr">
        <is>
          <t>MULLSJÖ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57583-2020</t>
        </is>
      </c>
      <c r="B2336" s="1" t="n">
        <v>44140</v>
      </c>
      <c r="C2336" s="1" t="n">
        <v>45828</v>
      </c>
      <c r="D2336" t="inlineStr">
        <is>
          <t>JÖNKÖPINGS LÄN</t>
        </is>
      </c>
      <c r="E2336" t="inlineStr">
        <is>
          <t>VETLANDA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57429-2020</t>
        </is>
      </c>
      <c r="B2337" s="1" t="n">
        <v>44140</v>
      </c>
      <c r="C2337" s="1" t="n">
        <v>45828</v>
      </c>
      <c r="D2337" t="inlineStr">
        <is>
          <t>JÖNKÖPINGS LÄN</t>
        </is>
      </c>
      <c r="E2337" t="inlineStr">
        <is>
          <t>MULLSJÖ</t>
        </is>
      </c>
      <c r="G2337" t="n">
        <v>10.1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57507-2020</t>
        </is>
      </c>
      <c r="B2338" s="1" t="n">
        <v>44140</v>
      </c>
      <c r="C2338" s="1" t="n">
        <v>45828</v>
      </c>
      <c r="D2338" t="inlineStr">
        <is>
          <t>JÖNKÖPINGS LÄN</t>
        </is>
      </c>
      <c r="E2338" t="inlineStr">
        <is>
          <t>GISLAVED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57441-2020</t>
        </is>
      </c>
      <c r="B2339" s="1" t="n">
        <v>44140</v>
      </c>
      <c r="C2339" s="1" t="n">
        <v>45828</v>
      </c>
      <c r="D2339" t="inlineStr">
        <is>
          <t>JÖNKÖPINGS LÄN</t>
        </is>
      </c>
      <c r="E2339" t="inlineStr">
        <is>
          <t>GNOSJÖ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57611-2020</t>
        </is>
      </c>
      <c r="B2340" s="1" t="n">
        <v>44140</v>
      </c>
      <c r="C2340" s="1" t="n">
        <v>45828</v>
      </c>
      <c r="D2340" t="inlineStr">
        <is>
          <t>JÖNKÖPINGS LÄN</t>
        </is>
      </c>
      <c r="E2340" t="inlineStr">
        <is>
          <t>VETLANDA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57700-2020</t>
        </is>
      </c>
      <c r="B2341" s="1" t="n">
        <v>44140</v>
      </c>
      <c r="C2341" s="1" t="n">
        <v>45828</v>
      </c>
      <c r="D2341" t="inlineStr">
        <is>
          <t>JÖNKÖPINGS LÄN</t>
        </is>
      </c>
      <c r="E2341" t="inlineStr">
        <is>
          <t>EKSJÖ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57705-2020</t>
        </is>
      </c>
      <c r="B2342" s="1" t="n">
        <v>44140</v>
      </c>
      <c r="C2342" s="1" t="n">
        <v>45828</v>
      </c>
      <c r="D2342" t="inlineStr">
        <is>
          <t>JÖNKÖPINGS LÄN</t>
        </is>
      </c>
      <c r="E2342" t="inlineStr">
        <is>
          <t>EKSJÖ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57933-2020</t>
        </is>
      </c>
      <c r="B2343" s="1" t="n">
        <v>44141</v>
      </c>
      <c r="C2343" s="1" t="n">
        <v>45828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58101-2020</t>
        </is>
      </c>
      <c r="B2344" s="1" t="n">
        <v>44144</v>
      </c>
      <c r="C2344" s="1" t="n">
        <v>45828</v>
      </c>
      <c r="D2344" t="inlineStr">
        <is>
          <t>JÖNKÖPINGS LÄN</t>
        </is>
      </c>
      <c r="E2344" t="inlineStr">
        <is>
          <t>EKSJÖ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58161-2020</t>
        </is>
      </c>
      <c r="B2345" s="1" t="n">
        <v>44144</v>
      </c>
      <c r="C2345" s="1" t="n">
        <v>45828</v>
      </c>
      <c r="D2345" t="inlineStr">
        <is>
          <t>JÖNKÖPINGS LÄN</t>
        </is>
      </c>
      <c r="E2345" t="inlineStr">
        <is>
          <t>EKSJÖ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58171-2020</t>
        </is>
      </c>
      <c r="B2346" s="1" t="n">
        <v>44144</v>
      </c>
      <c r="C2346" s="1" t="n">
        <v>45828</v>
      </c>
      <c r="D2346" t="inlineStr">
        <is>
          <t>JÖNKÖPINGS LÄN</t>
        </is>
      </c>
      <c r="E2346" t="inlineStr">
        <is>
          <t>EKSJÖ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58055-2020</t>
        </is>
      </c>
      <c r="B2347" s="1" t="n">
        <v>44144</v>
      </c>
      <c r="C2347" s="1" t="n">
        <v>45828</v>
      </c>
      <c r="D2347" t="inlineStr">
        <is>
          <t>JÖNKÖPINGS LÄN</t>
        </is>
      </c>
      <c r="E2347" t="inlineStr">
        <is>
          <t>NÄSSJÖ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58007-2020</t>
        </is>
      </c>
      <c r="B2348" s="1" t="n">
        <v>44144</v>
      </c>
      <c r="C2348" s="1" t="n">
        <v>45828</v>
      </c>
      <c r="D2348" t="inlineStr">
        <is>
          <t>JÖNKÖPINGS LÄN</t>
        </is>
      </c>
      <c r="E2348" t="inlineStr">
        <is>
          <t>JÖNKÖPING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58045-2020</t>
        </is>
      </c>
      <c r="B2349" s="1" t="n">
        <v>44144</v>
      </c>
      <c r="C2349" s="1" t="n">
        <v>45828</v>
      </c>
      <c r="D2349" t="inlineStr">
        <is>
          <t>JÖNKÖPINGS LÄN</t>
        </is>
      </c>
      <c r="E2349" t="inlineStr">
        <is>
          <t>SÄVSJÖ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58147-2020</t>
        </is>
      </c>
      <c r="B2350" s="1" t="n">
        <v>44144</v>
      </c>
      <c r="C2350" s="1" t="n">
        <v>45828</v>
      </c>
      <c r="D2350" t="inlineStr">
        <is>
          <t>JÖNKÖPINGS LÄN</t>
        </is>
      </c>
      <c r="E2350" t="inlineStr">
        <is>
          <t>TRANÅS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58065-2020</t>
        </is>
      </c>
      <c r="B2351" s="1" t="n">
        <v>44144</v>
      </c>
      <c r="C2351" s="1" t="n">
        <v>45828</v>
      </c>
      <c r="D2351" t="inlineStr">
        <is>
          <t>JÖNKÖPINGS LÄN</t>
        </is>
      </c>
      <c r="E2351" t="inlineStr">
        <is>
          <t>SÄVSJÖ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58140-2020</t>
        </is>
      </c>
      <c r="B2352" s="1" t="n">
        <v>44144</v>
      </c>
      <c r="C2352" s="1" t="n">
        <v>45828</v>
      </c>
      <c r="D2352" t="inlineStr">
        <is>
          <t>JÖNKÖPINGS LÄN</t>
        </is>
      </c>
      <c r="E2352" t="inlineStr">
        <is>
          <t>TRANÅS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58660-2020</t>
        </is>
      </c>
      <c r="B2353" s="1" t="n">
        <v>44145</v>
      </c>
      <c r="C2353" s="1" t="n">
        <v>45828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58448-2020</t>
        </is>
      </c>
      <c r="B2354" s="1" t="n">
        <v>44145</v>
      </c>
      <c r="C2354" s="1" t="n">
        <v>45828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58345-2020</t>
        </is>
      </c>
      <c r="B2355" s="1" t="n">
        <v>44145</v>
      </c>
      <c r="C2355" s="1" t="n">
        <v>45828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58749-2020</t>
        </is>
      </c>
      <c r="B2356" s="1" t="n">
        <v>44145</v>
      </c>
      <c r="C2356" s="1" t="n">
        <v>45828</v>
      </c>
      <c r="D2356" t="inlineStr">
        <is>
          <t>JÖNKÖPINGS LÄN</t>
        </is>
      </c>
      <c r="E2356" t="inlineStr">
        <is>
          <t>JÖNKÖPING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60778-2020</t>
        </is>
      </c>
      <c r="B2357" s="1" t="n">
        <v>44145</v>
      </c>
      <c r="C2357" s="1" t="n">
        <v>45828</v>
      </c>
      <c r="D2357" t="inlineStr">
        <is>
          <t>JÖNKÖPINGS LÄN</t>
        </is>
      </c>
      <c r="E2357" t="inlineStr">
        <is>
          <t>VÄRNAMO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58627-2020</t>
        </is>
      </c>
      <c r="B2358" s="1" t="n">
        <v>44145</v>
      </c>
      <c r="C2358" s="1" t="n">
        <v>45828</v>
      </c>
      <c r="D2358" t="inlineStr">
        <is>
          <t>JÖNKÖPINGS LÄN</t>
        </is>
      </c>
      <c r="E2358" t="inlineStr">
        <is>
          <t>JÖNKÖPING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58706-2020</t>
        </is>
      </c>
      <c r="B2359" s="1" t="n">
        <v>44145</v>
      </c>
      <c r="C2359" s="1" t="n">
        <v>45828</v>
      </c>
      <c r="D2359" t="inlineStr">
        <is>
          <t>JÖNKÖPINGS LÄN</t>
        </is>
      </c>
      <c r="E2359" t="inlineStr">
        <is>
          <t>EKSJÖ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58807-2020</t>
        </is>
      </c>
      <c r="B2360" s="1" t="n">
        <v>44146</v>
      </c>
      <c r="C2360" s="1" t="n">
        <v>45828</v>
      </c>
      <c r="D2360" t="inlineStr">
        <is>
          <t>JÖNKÖPINGS LÄN</t>
        </is>
      </c>
      <c r="E2360" t="inlineStr">
        <is>
          <t>VAGGERYD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58947-2020</t>
        </is>
      </c>
      <c r="B2361" s="1" t="n">
        <v>44146</v>
      </c>
      <c r="C2361" s="1" t="n">
        <v>45828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58862-2020</t>
        </is>
      </c>
      <c r="B2362" s="1" t="n">
        <v>44146</v>
      </c>
      <c r="C2362" s="1" t="n">
        <v>45828</v>
      </c>
      <c r="D2362" t="inlineStr">
        <is>
          <t>JÖNKÖPINGS LÄN</t>
        </is>
      </c>
      <c r="E2362" t="inlineStr">
        <is>
          <t>GISLAVED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59033-2020</t>
        </is>
      </c>
      <c r="B2363" s="1" t="n">
        <v>44147</v>
      </c>
      <c r="C2363" s="1" t="n">
        <v>45828</v>
      </c>
      <c r="D2363" t="inlineStr">
        <is>
          <t>JÖNKÖPINGS LÄN</t>
        </is>
      </c>
      <c r="E2363" t="inlineStr">
        <is>
          <t>VÄRNAMO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59256-2020</t>
        </is>
      </c>
      <c r="B2364" s="1" t="n">
        <v>44147</v>
      </c>
      <c r="C2364" s="1" t="n">
        <v>45828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Kyrkan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59246-2020</t>
        </is>
      </c>
      <c r="B2365" s="1" t="n">
        <v>44147</v>
      </c>
      <c r="C2365" s="1" t="n">
        <v>45828</v>
      </c>
      <c r="D2365" t="inlineStr">
        <is>
          <t>JÖNKÖPINGS LÄN</t>
        </is>
      </c>
      <c r="E2365" t="inlineStr">
        <is>
          <t>VÄRNAMO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59305-2020</t>
        </is>
      </c>
      <c r="B2366" s="1" t="n">
        <v>44147</v>
      </c>
      <c r="C2366" s="1" t="n">
        <v>45828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59359-2020</t>
        </is>
      </c>
      <c r="B2367" s="1" t="n">
        <v>44148</v>
      </c>
      <c r="C2367" s="1" t="n">
        <v>45828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59357-2020</t>
        </is>
      </c>
      <c r="B2368" s="1" t="n">
        <v>44148</v>
      </c>
      <c r="C2368" s="1" t="n">
        <v>45828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59355-2020</t>
        </is>
      </c>
      <c r="B2369" s="1" t="n">
        <v>44148</v>
      </c>
      <c r="C2369" s="1" t="n">
        <v>45828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59362-2020</t>
        </is>
      </c>
      <c r="B2370" s="1" t="n">
        <v>44148</v>
      </c>
      <c r="C2370" s="1" t="n">
        <v>45828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59502-2020</t>
        </is>
      </c>
      <c r="B2371" s="1" t="n">
        <v>44148</v>
      </c>
      <c r="C2371" s="1" t="n">
        <v>45828</v>
      </c>
      <c r="D2371" t="inlineStr">
        <is>
          <t>JÖNKÖPINGS LÄN</t>
        </is>
      </c>
      <c r="E2371" t="inlineStr">
        <is>
          <t>JÖNKÖPING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59664-2020</t>
        </is>
      </c>
      <c r="B2372" s="1" t="n">
        <v>44151</v>
      </c>
      <c r="C2372" s="1" t="n">
        <v>45828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59684-2020</t>
        </is>
      </c>
      <c r="B2373" s="1" t="n">
        <v>44151</v>
      </c>
      <c r="C2373" s="1" t="n">
        <v>45828</v>
      </c>
      <c r="D2373" t="inlineStr">
        <is>
          <t>JÖNKÖPINGS LÄN</t>
        </is>
      </c>
      <c r="E2373" t="inlineStr">
        <is>
          <t>JÖNKÖPING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59918-2020</t>
        </is>
      </c>
      <c r="B2374" s="1" t="n">
        <v>44151</v>
      </c>
      <c r="C2374" s="1" t="n">
        <v>45828</v>
      </c>
      <c r="D2374" t="inlineStr">
        <is>
          <t>JÖNKÖPINGS LÄN</t>
        </is>
      </c>
      <c r="E2374" t="inlineStr">
        <is>
          <t>NÄSSJÖ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60009-2020</t>
        </is>
      </c>
      <c r="B2375" s="1" t="n">
        <v>44151</v>
      </c>
      <c r="C2375" s="1" t="n">
        <v>45828</v>
      </c>
      <c r="D2375" t="inlineStr">
        <is>
          <t>JÖNKÖPINGS LÄN</t>
        </is>
      </c>
      <c r="E2375" t="inlineStr">
        <is>
          <t>NÄSSJÖ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60268-2020</t>
        </is>
      </c>
      <c r="B2376" s="1" t="n">
        <v>44151</v>
      </c>
      <c r="C2376" s="1" t="n">
        <v>45828</v>
      </c>
      <c r="D2376" t="inlineStr">
        <is>
          <t>JÖNKÖPINGS LÄN</t>
        </is>
      </c>
      <c r="E2376" t="inlineStr">
        <is>
          <t>VÄRNAMO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60262-2020</t>
        </is>
      </c>
      <c r="B2377" s="1" t="n">
        <v>44152</v>
      </c>
      <c r="C2377" s="1" t="n">
        <v>45828</v>
      </c>
      <c r="D2377" t="inlineStr">
        <is>
          <t>JÖNKÖPINGS LÄN</t>
        </is>
      </c>
      <c r="E2377" t="inlineStr">
        <is>
          <t>EKSJÖ</t>
        </is>
      </c>
      <c r="F2377" t="inlineStr">
        <is>
          <t>Övriga Aktiebolag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60156-2020</t>
        </is>
      </c>
      <c r="B2378" s="1" t="n">
        <v>44152</v>
      </c>
      <c r="C2378" s="1" t="n">
        <v>45828</v>
      </c>
      <c r="D2378" t="inlineStr">
        <is>
          <t>JÖNKÖPINGS LÄN</t>
        </is>
      </c>
      <c r="E2378" t="inlineStr">
        <is>
          <t>EKSJÖ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60096-2020</t>
        </is>
      </c>
      <c r="B2379" s="1" t="n">
        <v>44152</v>
      </c>
      <c r="C2379" s="1" t="n">
        <v>45828</v>
      </c>
      <c r="D2379" t="inlineStr">
        <is>
          <t>JÖNKÖPINGS LÄN</t>
        </is>
      </c>
      <c r="E2379" t="inlineStr">
        <is>
          <t>TRANÅS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60266-2020</t>
        </is>
      </c>
      <c r="B2380" s="1" t="n">
        <v>44152</v>
      </c>
      <c r="C2380" s="1" t="n">
        <v>45828</v>
      </c>
      <c r="D2380" t="inlineStr">
        <is>
          <t>JÖNKÖPINGS LÄN</t>
        </is>
      </c>
      <c r="E2380" t="inlineStr">
        <is>
          <t>ANEBY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60318-2020</t>
        </is>
      </c>
      <c r="B2381" s="1" t="n">
        <v>44152</v>
      </c>
      <c r="C2381" s="1" t="n">
        <v>45828</v>
      </c>
      <c r="D2381" t="inlineStr">
        <is>
          <t>JÖNKÖPINGS LÄN</t>
        </is>
      </c>
      <c r="E2381" t="inlineStr">
        <is>
          <t>VAGGERYD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60373-2020</t>
        </is>
      </c>
      <c r="B2382" s="1" t="n">
        <v>44152</v>
      </c>
      <c r="C2382" s="1" t="n">
        <v>45828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60372-2020</t>
        </is>
      </c>
      <c r="B2383" s="1" t="n">
        <v>44152</v>
      </c>
      <c r="C2383" s="1" t="n">
        <v>45828</v>
      </c>
      <c r="D2383" t="inlineStr">
        <is>
          <t>JÖNKÖPINGS LÄN</t>
        </is>
      </c>
      <c r="E2383" t="inlineStr">
        <is>
          <t>VETLANDA</t>
        </is>
      </c>
      <c r="G2383" t="n">
        <v>5.9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60378-2020</t>
        </is>
      </c>
      <c r="B2384" s="1" t="n">
        <v>44152</v>
      </c>
      <c r="C2384" s="1" t="n">
        <v>45828</v>
      </c>
      <c r="D2384" t="inlineStr">
        <is>
          <t>JÖNKÖPINGS LÄN</t>
        </is>
      </c>
      <c r="E2384" t="inlineStr">
        <is>
          <t>SÄVSJÖ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60497-2020</t>
        </is>
      </c>
      <c r="B2385" s="1" t="n">
        <v>44152</v>
      </c>
      <c r="C2385" s="1" t="n">
        <v>45828</v>
      </c>
      <c r="D2385" t="inlineStr">
        <is>
          <t>JÖNKÖPINGS LÄN</t>
        </is>
      </c>
      <c r="E2385" t="inlineStr">
        <is>
          <t>EKSJÖ</t>
        </is>
      </c>
      <c r="G2385" t="n">
        <v>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60382-2020</t>
        </is>
      </c>
      <c r="B2386" s="1" t="n">
        <v>44152</v>
      </c>
      <c r="C2386" s="1" t="n">
        <v>45828</v>
      </c>
      <c r="D2386" t="inlineStr">
        <is>
          <t>JÖNKÖPINGS LÄN</t>
        </is>
      </c>
      <c r="E2386" t="inlineStr">
        <is>
          <t>SÄVSJÖ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60374-2020</t>
        </is>
      </c>
      <c r="B2387" s="1" t="n">
        <v>44152</v>
      </c>
      <c r="C2387" s="1" t="n">
        <v>45828</v>
      </c>
      <c r="D2387" t="inlineStr">
        <is>
          <t>JÖNKÖPINGS LÄN</t>
        </is>
      </c>
      <c r="E2387" t="inlineStr">
        <is>
          <t>SÄVSJÖ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60564-2020</t>
        </is>
      </c>
      <c r="B2388" s="1" t="n">
        <v>44153</v>
      </c>
      <c r="C2388" s="1" t="n">
        <v>45828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60611-2020</t>
        </is>
      </c>
      <c r="B2389" s="1" t="n">
        <v>44153</v>
      </c>
      <c r="C2389" s="1" t="n">
        <v>45828</v>
      </c>
      <c r="D2389" t="inlineStr">
        <is>
          <t>JÖNKÖPINGS LÄN</t>
        </is>
      </c>
      <c r="E2389" t="inlineStr">
        <is>
          <t>SÄVSJÖ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60626-2020</t>
        </is>
      </c>
      <c r="B2390" s="1" t="n">
        <v>44153</v>
      </c>
      <c r="C2390" s="1" t="n">
        <v>45828</v>
      </c>
      <c r="D2390" t="inlineStr">
        <is>
          <t>JÖNKÖPINGS LÄN</t>
        </is>
      </c>
      <c r="E2390" t="inlineStr">
        <is>
          <t>SÄVSJÖ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60742-2020</t>
        </is>
      </c>
      <c r="B2391" s="1" t="n">
        <v>44153</v>
      </c>
      <c r="C2391" s="1" t="n">
        <v>45828</v>
      </c>
      <c r="D2391" t="inlineStr">
        <is>
          <t>JÖNKÖPINGS LÄN</t>
        </is>
      </c>
      <c r="E2391" t="inlineStr">
        <is>
          <t>VÄRNAMO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60739-2020</t>
        </is>
      </c>
      <c r="B2392" s="1" t="n">
        <v>44153</v>
      </c>
      <c r="C2392" s="1" t="n">
        <v>45828</v>
      </c>
      <c r="D2392" t="inlineStr">
        <is>
          <t>JÖNKÖPINGS LÄN</t>
        </is>
      </c>
      <c r="E2392" t="inlineStr">
        <is>
          <t>VÄRNAMO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60457-2020</t>
        </is>
      </c>
      <c r="B2393" s="1" t="n">
        <v>44153</v>
      </c>
      <c r="C2393" s="1" t="n">
        <v>45828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60992-2020</t>
        </is>
      </c>
      <c r="B2394" s="1" t="n">
        <v>44154</v>
      </c>
      <c r="C2394" s="1" t="n">
        <v>45828</v>
      </c>
      <c r="D2394" t="inlineStr">
        <is>
          <t>JÖNKÖPINGS LÄN</t>
        </is>
      </c>
      <c r="E2394" t="inlineStr">
        <is>
          <t>EKSJÖ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61097-2020</t>
        </is>
      </c>
      <c r="B2395" s="1" t="n">
        <v>44154</v>
      </c>
      <c r="C2395" s="1" t="n">
        <v>45828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61198-2020</t>
        </is>
      </c>
      <c r="B2396" s="1" t="n">
        <v>44155</v>
      </c>
      <c r="C2396" s="1" t="n">
        <v>45828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61310-2020</t>
        </is>
      </c>
      <c r="B2397" s="1" t="n">
        <v>44155</v>
      </c>
      <c r="C2397" s="1" t="n">
        <v>45828</v>
      </c>
      <c r="D2397" t="inlineStr">
        <is>
          <t>JÖNKÖPINGS LÄN</t>
        </is>
      </c>
      <c r="E2397" t="inlineStr">
        <is>
          <t>SÄVSJÖ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61199-2020</t>
        </is>
      </c>
      <c r="B2398" s="1" t="n">
        <v>44155</v>
      </c>
      <c r="C2398" s="1" t="n">
        <v>45828</v>
      </c>
      <c r="D2398" t="inlineStr">
        <is>
          <t>JÖNKÖPINGS LÄN</t>
        </is>
      </c>
      <c r="E2398" t="inlineStr">
        <is>
          <t>SÄVSJÖ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61950-2020</t>
        </is>
      </c>
      <c r="B2399" s="1" t="n">
        <v>44155</v>
      </c>
      <c r="C2399" s="1" t="n">
        <v>45828</v>
      </c>
      <c r="D2399" t="inlineStr">
        <is>
          <t>JÖNKÖPINGS LÄN</t>
        </is>
      </c>
      <c r="E2399" t="inlineStr">
        <is>
          <t>VETLANDA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61678-2020</t>
        </is>
      </c>
      <c r="B2400" s="1" t="n">
        <v>44155</v>
      </c>
      <c r="C2400" s="1" t="n">
        <v>45828</v>
      </c>
      <c r="D2400" t="inlineStr">
        <is>
          <t>JÖNKÖPINGS LÄN</t>
        </is>
      </c>
      <c r="E2400" t="inlineStr">
        <is>
          <t>NÄSSJÖ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61966-2020</t>
        </is>
      </c>
      <c r="B2401" s="1" t="n">
        <v>44156</v>
      </c>
      <c r="C2401" s="1" t="n">
        <v>45828</v>
      </c>
      <c r="D2401" t="inlineStr">
        <is>
          <t>JÖNKÖPINGS LÄN</t>
        </is>
      </c>
      <c r="E2401" t="inlineStr">
        <is>
          <t>ANEBY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61619-2020</t>
        </is>
      </c>
      <c r="B2402" s="1" t="n">
        <v>44158</v>
      </c>
      <c r="C2402" s="1" t="n">
        <v>45828</v>
      </c>
      <c r="D2402" t="inlineStr">
        <is>
          <t>JÖNKÖPINGS LÄN</t>
        </is>
      </c>
      <c r="E2402" t="inlineStr">
        <is>
          <t>JÖNKÖPING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61536-2020</t>
        </is>
      </c>
      <c r="B2403" s="1" t="n">
        <v>44158</v>
      </c>
      <c r="C2403" s="1" t="n">
        <v>45828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61555-2020</t>
        </is>
      </c>
      <c r="B2404" s="1" t="n">
        <v>44158</v>
      </c>
      <c r="C2404" s="1" t="n">
        <v>45828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61579-2020</t>
        </is>
      </c>
      <c r="B2405" s="1" t="n">
        <v>44158</v>
      </c>
      <c r="C2405" s="1" t="n">
        <v>45828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61546-2020</t>
        </is>
      </c>
      <c r="B2406" s="1" t="n">
        <v>44158</v>
      </c>
      <c r="C2406" s="1" t="n">
        <v>45828</v>
      </c>
      <c r="D2406" t="inlineStr">
        <is>
          <t>JÖNKÖPINGS LÄN</t>
        </is>
      </c>
      <c r="E2406" t="inlineStr">
        <is>
          <t>JÖNKÖPING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61790-2020</t>
        </is>
      </c>
      <c r="B2407" s="1" t="n">
        <v>44158</v>
      </c>
      <c r="C2407" s="1" t="n">
        <v>45828</v>
      </c>
      <c r="D2407" t="inlineStr">
        <is>
          <t>JÖNKÖPINGS LÄN</t>
        </is>
      </c>
      <c r="E2407" t="inlineStr">
        <is>
          <t>JÖNKÖPING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62011-2020</t>
        </is>
      </c>
      <c r="B2408" s="1" t="n">
        <v>44159</v>
      </c>
      <c r="C2408" s="1" t="n">
        <v>45828</v>
      </c>
      <c r="D2408" t="inlineStr">
        <is>
          <t>JÖNKÖPINGS LÄN</t>
        </is>
      </c>
      <c r="E2408" t="inlineStr">
        <is>
          <t>VAGGERYD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62113-2020</t>
        </is>
      </c>
      <c r="B2409" s="1" t="n">
        <v>44159</v>
      </c>
      <c r="C2409" s="1" t="n">
        <v>45828</v>
      </c>
      <c r="D2409" t="inlineStr">
        <is>
          <t>JÖNKÖPINGS LÄN</t>
        </is>
      </c>
      <c r="E2409" t="inlineStr">
        <is>
          <t>GISLAVED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62119-2020</t>
        </is>
      </c>
      <c r="B2410" s="1" t="n">
        <v>44159</v>
      </c>
      <c r="C2410" s="1" t="n">
        <v>45828</v>
      </c>
      <c r="D2410" t="inlineStr">
        <is>
          <t>JÖNKÖPINGS LÄN</t>
        </is>
      </c>
      <c r="E2410" t="inlineStr">
        <is>
          <t>GISLAVED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62204-2020</t>
        </is>
      </c>
      <c r="B2411" s="1" t="n">
        <v>44159</v>
      </c>
      <c r="C2411" s="1" t="n">
        <v>45828</v>
      </c>
      <c r="D2411" t="inlineStr">
        <is>
          <t>JÖNKÖPINGS LÄN</t>
        </is>
      </c>
      <c r="E2411" t="inlineStr">
        <is>
          <t>SÄVSJÖ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62341-2020</t>
        </is>
      </c>
      <c r="B2412" s="1" t="n">
        <v>44160</v>
      </c>
      <c r="C2412" s="1" t="n">
        <v>45828</v>
      </c>
      <c r="D2412" t="inlineStr">
        <is>
          <t>JÖNKÖPINGS LÄN</t>
        </is>
      </c>
      <c r="E2412" t="inlineStr">
        <is>
          <t>SÄVSJÖ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62698-2020</t>
        </is>
      </c>
      <c r="B2413" s="1" t="n">
        <v>44161</v>
      </c>
      <c r="C2413" s="1" t="n">
        <v>45828</v>
      </c>
      <c r="D2413" t="inlineStr">
        <is>
          <t>JÖNKÖPINGS LÄN</t>
        </is>
      </c>
      <c r="E2413" t="inlineStr">
        <is>
          <t>GNOSJÖ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62775-2020</t>
        </is>
      </c>
      <c r="B2414" s="1" t="n">
        <v>44161</v>
      </c>
      <c r="C2414" s="1" t="n">
        <v>45828</v>
      </c>
      <c r="D2414" t="inlineStr">
        <is>
          <t>JÖNKÖPINGS LÄN</t>
        </is>
      </c>
      <c r="E2414" t="inlineStr">
        <is>
          <t>SÄVSJÖ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62627-2020</t>
        </is>
      </c>
      <c r="B2415" s="1" t="n">
        <v>44161</v>
      </c>
      <c r="C2415" s="1" t="n">
        <v>45828</v>
      </c>
      <c r="D2415" t="inlineStr">
        <is>
          <t>JÖNKÖPINGS LÄN</t>
        </is>
      </c>
      <c r="E2415" t="inlineStr">
        <is>
          <t>GNOSJÖ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62594-2020</t>
        </is>
      </c>
      <c r="B2416" s="1" t="n">
        <v>44161</v>
      </c>
      <c r="C2416" s="1" t="n">
        <v>45828</v>
      </c>
      <c r="D2416" t="inlineStr">
        <is>
          <t>JÖNKÖPINGS LÄN</t>
        </is>
      </c>
      <c r="E2416" t="inlineStr">
        <is>
          <t>JÖNKÖPING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62813-2020</t>
        </is>
      </c>
      <c r="B2417" s="1" t="n">
        <v>44161</v>
      </c>
      <c r="C2417" s="1" t="n">
        <v>45828</v>
      </c>
      <c r="D2417" t="inlineStr">
        <is>
          <t>JÖNKÖPINGS LÄN</t>
        </is>
      </c>
      <c r="E2417" t="inlineStr">
        <is>
          <t>TRANÅS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62838-2020</t>
        </is>
      </c>
      <c r="B2418" s="1" t="n">
        <v>44161</v>
      </c>
      <c r="C2418" s="1" t="n">
        <v>45828</v>
      </c>
      <c r="D2418" t="inlineStr">
        <is>
          <t>JÖNKÖPINGS LÄN</t>
        </is>
      </c>
      <c r="E2418" t="inlineStr">
        <is>
          <t>GISLAVED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62839-2020</t>
        </is>
      </c>
      <c r="B2419" s="1" t="n">
        <v>44161</v>
      </c>
      <c r="C2419" s="1" t="n">
        <v>45828</v>
      </c>
      <c r="D2419" t="inlineStr">
        <is>
          <t>JÖNKÖPINGS LÄN</t>
        </is>
      </c>
      <c r="E2419" t="inlineStr">
        <is>
          <t>GISLAVED</t>
        </is>
      </c>
      <c r="G2419" t="n">
        <v>6.1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63030-2020</t>
        </is>
      </c>
      <c r="B2420" s="1" t="n">
        <v>44162</v>
      </c>
      <c r="C2420" s="1" t="n">
        <v>45828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63116-2020</t>
        </is>
      </c>
      <c r="B2421" s="1" t="n">
        <v>44162</v>
      </c>
      <c r="C2421" s="1" t="n">
        <v>45828</v>
      </c>
      <c r="D2421" t="inlineStr">
        <is>
          <t>JÖNKÖPINGS LÄN</t>
        </is>
      </c>
      <c r="E2421" t="inlineStr">
        <is>
          <t>NÄSSJÖ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63066-2020</t>
        </is>
      </c>
      <c r="B2422" s="1" t="n">
        <v>44162</v>
      </c>
      <c r="C2422" s="1" t="n">
        <v>45828</v>
      </c>
      <c r="D2422" t="inlineStr">
        <is>
          <t>JÖNKÖPINGS LÄN</t>
        </is>
      </c>
      <c r="E2422" t="inlineStr">
        <is>
          <t>NÄSSJÖ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63071-2020</t>
        </is>
      </c>
      <c r="B2423" s="1" t="n">
        <v>44162</v>
      </c>
      <c r="C2423" s="1" t="n">
        <v>45828</v>
      </c>
      <c r="D2423" t="inlineStr">
        <is>
          <t>JÖNKÖPINGS LÄN</t>
        </is>
      </c>
      <c r="E2423" t="inlineStr">
        <is>
          <t>NÄSSJÖ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63130-2020</t>
        </is>
      </c>
      <c r="B2424" s="1" t="n">
        <v>44162</v>
      </c>
      <c r="C2424" s="1" t="n">
        <v>45828</v>
      </c>
      <c r="D2424" t="inlineStr">
        <is>
          <t>JÖNKÖPINGS LÄN</t>
        </is>
      </c>
      <c r="E2424" t="inlineStr">
        <is>
          <t>NÄSSJÖ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63134-2020</t>
        </is>
      </c>
      <c r="B2425" s="1" t="n">
        <v>44162</v>
      </c>
      <c r="C2425" s="1" t="n">
        <v>45828</v>
      </c>
      <c r="D2425" t="inlineStr">
        <is>
          <t>JÖNKÖPINGS LÄN</t>
        </is>
      </c>
      <c r="E2425" t="inlineStr">
        <is>
          <t>NÄSSJÖ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63405-2020</t>
        </is>
      </c>
      <c r="B2426" s="1" t="n">
        <v>44165</v>
      </c>
      <c r="C2426" s="1" t="n">
        <v>45828</v>
      </c>
      <c r="D2426" t="inlineStr">
        <is>
          <t>JÖNKÖPINGS LÄN</t>
        </is>
      </c>
      <c r="E2426" t="inlineStr">
        <is>
          <t>VÄRNAMO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63413-2020</t>
        </is>
      </c>
      <c r="B2427" s="1" t="n">
        <v>44165</v>
      </c>
      <c r="C2427" s="1" t="n">
        <v>45828</v>
      </c>
      <c r="D2427" t="inlineStr">
        <is>
          <t>JÖNKÖPINGS LÄN</t>
        </is>
      </c>
      <c r="E2427" t="inlineStr">
        <is>
          <t>GISLAVED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63523-2020</t>
        </is>
      </c>
      <c r="B2428" s="1" t="n">
        <v>44165</v>
      </c>
      <c r="C2428" s="1" t="n">
        <v>45828</v>
      </c>
      <c r="D2428" t="inlineStr">
        <is>
          <t>JÖNKÖPINGS LÄN</t>
        </is>
      </c>
      <c r="E2428" t="inlineStr">
        <is>
          <t>HABO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63798-2020</t>
        </is>
      </c>
      <c r="B2429" s="1" t="n">
        <v>44166</v>
      </c>
      <c r="C2429" s="1" t="n">
        <v>45828</v>
      </c>
      <c r="D2429" t="inlineStr">
        <is>
          <t>JÖNKÖPINGS LÄN</t>
        </is>
      </c>
      <c r="E2429" t="inlineStr">
        <is>
          <t>GISLAVED</t>
        </is>
      </c>
      <c r="F2429" t="inlineStr">
        <is>
          <t>Kyrkan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63906-2020</t>
        </is>
      </c>
      <c r="B2430" s="1" t="n">
        <v>44166</v>
      </c>
      <c r="C2430" s="1" t="n">
        <v>45828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Kommuner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63934-2020</t>
        </is>
      </c>
      <c r="B2431" s="1" t="n">
        <v>44167</v>
      </c>
      <c r="C2431" s="1" t="n">
        <v>45828</v>
      </c>
      <c r="D2431" t="inlineStr">
        <is>
          <t>JÖNKÖPINGS LÄN</t>
        </is>
      </c>
      <c r="E2431" t="inlineStr">
        <is>
          <t>VETLANDA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63933-2020</t>
        </is>
      </c>
      <c r="B2432" s="1" t="n">
        <v>44167</v>
      </c>
      <c r="C2432" s="1" t="n">
        <v>45828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63955-2020</t>
        </is>
      </c>
      <c r="B2433" s="1" t="n">
        <v>44167</v>
      </c>
      <c r="C2433" s="1" t="n">
        <v>45828</v>
      </c>
      <c r="D2433" t="inlineStr">
        <is>
          <t>JÖNKÖPINGS LÄN</t>
        </is>
      </c>
      <c r="E2433" t="inlineStr">
        <is>
          <t>EKSJÖ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65069-2020</t>
        </is>
      </c>
      <c r="B2434" s="1" t="n">
        <v>44167</v>
      </c>
      <c r="C2434" s="1" t="n">
        <v>45828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Kyrkan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64309-2020</t>
        </is>
      </c>
      <c r="B2435" s="1" t="n">
        <v>44168</v>
      </c>
      <c r="C2435" s="1" t="n">
        <v>45828</v>
      </c>
      <c r="D2435" t="inlineStr">
        <is>
          <t>JÖNKÖPINGS LÄN</t>
        </is>
      </c>
      <c r="E2435" t="inlineStr">
        <is>
          <t>GNOSJÖ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64359-2020</t>
        </is>
      </c>
      <c r="B2436" s="1" t="n">
        <v>44168</v>
      </c>
      <c r="C2436" s="1" t="n">
        <v>45828</v>
      </c>
      <c r="D2436" t="inlineStr">
        <is>
          <t>JÖNKÖPINGS LÄN</t>
        </is>
      </c>
      <c r="E2436" t="inlineStr">
        <is>
          <t>VÄRNAMO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64583-2020</t>
        </is>
      </c>
      <c r="B2437" s="1" t="n">
        <v>44169</v>
      </c>
      <c r="C2437" s="1" t="n">
        <v>45828</v>
      </c>
      <c r="D2437" t="inlineStr">
        <is>
          <t>JÖNKÖPINGS LÄN</t>
        </is>
      </c>
      <c r="E2437" t="inlineStr">
        <is>
          <t>VETLANDA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64669-2020</t>
        </is>
      </c>
      <c r="B2438" s="1" t="n">
        <v>44169</v>
      </c>
      <c r="C2438" s="1" t="n">
        <v>45828</v>
      </c>
      <c r="D2438" t="inlineStr">
        <is>
          <t>JÖNKÖPINGS LÄN</t>
        </is>
      </c>
      <c r="E2438" t="inlineStr">
        <is>
          <t>HABO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64524-2020</t>
        </is>
      </c>
      <c r="B2439" s="1" t="n">
        <v>44169</v>
      </c>
      <c r="C2439" s="1" t="n">
        <v>45828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64737-2020</t>
        </is>
      </c>
      <c r="B2440" s="1" t="n">
        <v>44169</v>
      </c>
      <c r="C2440" s="1" t="n">
        <v>45828</v>
      </c>
      <c r="D2440" t="inlineStr">
        <is>
          <t>JÖNKÖPINGS LÄN</t>
        </is>
      </c>
      <c r="E2440" t="inlineStr">
        <is>
          <t>EKSJÖ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65302-2020</t>
        </is>
      </c>
      <c r="B2441" s="1" t="n">
        <v>44169</v>
      </c>
      <c r="C2441" s="1" t="n">
        <v>45828</v>
      </c>
      <c r="D2441" t="inlineStr">
        <is>
          <t>JÖNKÖPINGS LÄN</t>
        </is>
      </c>
      <c r="E2441" t="inlineStr">
        <is>
          <t>VÄRNAMO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65452-2020</t>
        </is>
      </c>
      <c r="B2442" s="1" t="n">
        <v>44169</v>
      </c>
      <c r="C2442" s="1" t="n">
        <v>45828</v>
      </c>
      <c r="D2442" t="inlineStr">
        <is>
          <t>JÖNKÖPINGS LÄN</t>
        </is>
      </c>
      <c r="E2442" t="inlineStr">
        <is>
          <t>ANEBY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65304-2020</t>
        </is>
      </c>
      <c r="B2443" s="1" t="n">
        <v>44169</v>
      </c>
      <c r="C2443" s="1" t="n">
        <v>45828</v>
      </c>
      <c r="D2443" t="inlineStr">
        <is>
          <t>JÖNKÖPINGS LÄN</t>
        </is>
      </c>
      <c r="E2443" t="inlineStr">
        <is>
          <t>VÄRNAMO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64865-2020</t>
        </is>
      </c>
      <c r="B2444" s="1" t="n">
        <v>44171</v>
      </c>
      <c r="C2444" s="1" t="n">
        <v>45828</v>
      </c>
      <c r="D2444" t="inlineStr">
        <is>
          <t>JÖNKÖPINGS LÄN</t>
        </is>
      </c>
      <c r="E2444" t="inlineStr">
        <is>
          <t>MULLSJÖ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64878-2020</t>
        </is>
      </c>
      <c r="B2445" s="1" t="n">
        <v>44171</v>
      </c>
      <c r="C2445" s="1" t="n">
        <v>45828</v>
      </c>
      <c r="D2445" t="inlineStr">
        <is>
          <t>JÖNKÖPINGS LÄN</t>
        </is>
      </c>
      <c r="E2445" t="inlineStr">
        <is>
          <t>VÄRNAMO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64867-2020</t>
        </is>
      </c>
      <c r="B2446" s="1" t="n">
        <v>44171</v>
      </c>
      <c r="C2446" s="1" t="n">
        <v>45828</v>
      </c>
      <c r="D2446" t="inlineStr">
        <is>
          <t>JÖNKÖPINGS LÄN</t>
        </is>
      </c>
      <c r="E2446" t="inlineStr">
        <is>
          <t>MULLSJÖ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65015-2020</t>
        </is>
      </c>
      <c r="B2447" s="1" t="n">
        <v>44172</v>
      </c>
      <c r="C2447" s="1" t="n">
        <v>45828</v>
      </c>
      <c r="D2447" t="inlineStr">
        <is>
          <t>JÖNKÖPINGS LÄN</t>
        </is>
      </c>
      <c r="E2447" t="inlineStr">
        <is>
          <t>VÄRNAMO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65080-2020</t>
        </is>
      </c>
      <c r="B2448" s="1" t="n">
        <v>44172</v>
      </c>
      <c r="C2448" s="1" t="n">
        <v>45828</v>
      </c>
      <c r="D2448" t="inlineStr">
        <is>
          <t>JÖNKÖPINGS LÄN</t>
        </is>
      </c>
      <c r="E2448" t="inlineStr">
        <is>
          <t>JÖNKÖPING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65131-2020</t>
        </is>
      </c>
      <c r="B2449" s="1" t="n">
        <v>44172</v>
      </c>
      <c r="C2449" s="1" t="n">
        <v>45828</v>
      </c>
      <c r="D2449" t="inlineStr">
        <is>
          <t>JÖNKÖPINGS LÄN</t>
        </is>
      </c>
      <c r="E2449" t="inlineStr">
        <is>
          <t>NÄSSJÖ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65175-2020</t>
        </is>
      </c>
      <c r="B2450" s="1" t="n">
        <v>44172</v>
      </c>
      <c r="C2450" s="1" t="n">
        <v>45828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65501-2020</t>
        </is>
      </c>
      <c r="B2451" s="1" t="n">
        <v>44173</v>
      </c>
      <c r="C2451" s="1" t="n">
        <v>45828</v>
      </c>
      <c r="D2451" t="inlineStr">
        <is>
          <t>JÖNKÖPINGS LÄN</t>
        </is>
      </c>
      <c r="E2451" t="inlineStr">
        <is>
          <t>VETLANDA</t>
        </is>
      </c>
      <c r="F2451" t="inlineStr">
        <is>
          <t>Övriga Aktiebolag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65431-2020</t>
        </is>
      </c>
      <c r="B2452" s="1" t="n">
        <v>44173</v>
      </c>
      <c r="C2452" s="1" t="n">
        <v>45828</v>
      </c>
      <c r="D2452" t="inlineStr">
        <is>
          <t>JÖNKÖPINGS LÄN</t>
        </is>
      </c>
      <c r="E2452" t="inlineStr">
        <is>
          <t>GISLAVED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65529-2020</t>
        </is>
      </c>
      <c r="B2453" s="1" t="n">
        <v>44173</v>
      </c>
      <c r="C2453" s="1" t="n">
        <v>45828</v>
      </c>
      <c r="D2453" t="inlineStr">
        <is>
          <t>JÖNKÖPINGS LÄN</t>
        </is>
      </c>
      <c r="E2453" t="inlineStr">
        <is>
          <t>JÖNKÖPING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65603-2020</t>
        </is>
      </c>
      <c r="B2454" s="1" t="n">
        <v>44173</v>
      </c>
      <c r="C2454" s="1" t="n">
        <v>45828</v>
      </c>
      <c r="D2454" t="inlineStr">
        <is>
          <t>JÖNKÖPINGS LÄN</t>
        </is>
      </c>
      <c r="E2454" t="inlineStr">
        <is>
          <t>SÄVSJÖ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65608-2020</t>
        </is>
      </c>
      <c r="B2455" s="1" t="n">
        <v>44173</v>
      </c>
      <c r="C2455" s="1" t="n">
        <v>45828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65598-2020</t>
        </is>
      </c>
      <c r="B2456" s="1" t="n">
        <v>44173</v>
      </c>
      <c r="C2456" s="1" t="n">
        <v>45828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65611-2020</t>
        </is>
      </c>
      <c r="B2457" s="1" t="n">
        <v>44173</v>
      </c>
      <c r="C2457" s="1" t="n">
        <v>45828</v>
      </c>
      <c r="D2457" t="inlineStr">
        <is>
          <t>JÖNKÖPINGS LÄN</t>
        </is>
      </c>
      <c r="E2457" t="inlineStr">
        <is>
          <t>NÄSSJÖ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65601-2020</t>
        </is>
      </c>
      <c r="B2458" s="1" t="n">
        <v>44173</v>
      </c>
      <c r="C2458" s="1" t="n">
        <v>45828</v>
      </c>
      <c r="D2458" t="inlineStr">
        <is>
          <t>JÖNKÖPINGS LÄN</t>
        </is>
      </c>
      <c r="E2458" t="inlineStr">
        <is>
          <t>SÄVSJÖ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65890-2020</t>
        </is>
      </c>
      <c r="B2459" s="1" t="n">
        <v>44174</v>
      </c>
      <c r="C2459" s="1" t="n">
        <v>45828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65793-2020</t>
        </is>
      </c>
      <c r="B2460" s="1" t="n">
        <v>44174</v>
      </c>
      <c r="C2460" s="1" t="n">
        <v>45828</v>
      </c>
      <c r="D2460" t="inlineStr">
        <is>
          <t>JÖNKÖPINGS LÄN</t>
        </is>
      </c>
      <c r="E2460" t="inlineStr">
        <is>
          <t>SÄVSJÖ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65891-2020</t>
        </is>
      </c>
      <c r="B2461" s="1" t="n">
        <v>44174</v>
      </c>
      <c r="C2461" s="1" t="n">
        <v>45828</v>
      </c>
      <c r="D2461" t="inlineStr">
        <is>
          <t>JÖNKÖPINGS LÄN</t>
        </is>
      </c>
      <c r="E2461" t="inlineStr">
        <is>
          <t>VETLANDA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66454-2020</t>
        </is>
      </c>
      <c r="B2462" s="1" t="n">
        <v>44174</v>
      </c>
      <c r="C2462" s="1" t="n">
        <v>45828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Kyrkan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66939-2020</t>
        </is>
      </c>
      <c r="B2463" s="1" t="n">
        <v>44174</v>
      </c>
      <c r="C2463" s="1" t="n">
        <v>45828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Övriga Aktiebolag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66056-2020</t>
        </is>
      </c>
      <c r="B2464" s="1" t="n">
        <v>44175</v>
      </c>
      <c r="C2464" s="1" t="n">
        <v>45828</v>
      </c>
      <c r="D2464" t="inlineStr">
        <is>
          <t>JÖNKÖPINGS LÄN</t>
        </is>
      </c>
      <c r="E2464" t="inlineStr">
        <is>
          <t>JÖNKÖPING</t>
        </is>
      </c>
      <c r="G2464" t="n">
        <v>5.6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66211-2020</t>
        </is>
      </c>
      <c r="B2465" s="1" t="n">
        <v>44175</v>
      </c>
      <c r="C2465" s="1" t="n">
        <v>45828</v>
      </c>
      <c r="D2465" t="inlineStr">
        <is>
          <t>JÖNKÖPINGS LÄN</t>
        </is>
      </c>
      <c r="E2465" t="inlineStr">
        <is>
          <t>GNOSJÖ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66213-2020</t>
        </is>
      </c>
      <c r="B2466" s="1" t="n">
        <v>44175</v>
      </c>
      <c r="C2466" s="1" t="n">
        <v>45828</v>
      </c>
      <c r="D2466" t="inlineStr">
        <is>
          <t>JÖNKÖPINGS LÄN</t>
        </is>
      </c>
      <c r="E2466" t="inlineStr">
        <is>
          <t>SÄVSJÖ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66444-2020</t>
        </is>
      </c>
      <c r="B2467" s="1" t="n">
        <v>44176</v>
      </c>
      <c r="C2467" s="1" t="n">
        <v>45828</v>
      </c>
      <c r="D2467" t="inlineStr">
        <is>
          <t>JÖNKÖPINGS LÄN</t>
        </is>
      </c>
      <c r="E2467" t="inlineStr">
        <is>
          <t>HABO</t>
        </is>
      </c>
      <c r="G2467" t="n">
        <v>6.9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66450-2020</t>
        </is>
      </c>
      <c r="B2468" s="1" t="n">
        <v>44176</v>
      </c>
      <c r="C2468" s="1" t="n">
        <v>45828</v>
      </c>
      <c r="D2468" t="inlineStr">
        <is>
          <t>JÖNKÖPINGS LÄN</t>
        </is>
      </c>
      <c r="E2468" t="inlineStr">
        <is>
          <t>VETLANDA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66911-2020</t>
        </is>
      </c>
      <c r="B2469" s="1" t="n">
        <v>44176</v>
      </c>
      <c r="C2469" s="1" t="n">
        <v>45828</v>
      </c>
      <c r="D2469" t="inlineStr">
        <is>
          <t>JÖNKÖPINGS LÄN</t>
        </is>
      </c>
      <c r="E2469" t="inlineStr">
        <is>
          <t>VÄRNAMO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66482-2020</t>
        </is>
      </c>
      <c r="B2470" s="1" t="n">
        <v>44177</v>
      </c>
      <c r="C2470" s="1" t="n">
        <v>45828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66479-2020</t>
        </is>
      </c>
      <c r="B2471" s="1" t="n">
        <v>44177</v>
      </c>
      <c r="C2471" s="1" t="n">
        <v>45828</v>
      </c>
      <c r="D2471" t="inlineStr">
        <is>
          <t>JÖNKÖPINGS LÄN</t>
        </is>
      </c>
      <c r="E2471" t="inlineStr">
        <is>
          <t>EKSJÖ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66486-2020</t>
        </is>
      </c>
      <c r="B2472" s="1" t="n">
        <v>44177</v>
      </c>
      <c r="C2472" s="1" t="n">
        <v>45828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66503-2020</t>
        </is>
      </c>
      <c r="B2473" s="1" t="n">
        <v>44178</v>
      </c>
      <c r="C2473" s="1" t="n">
        <v>45828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66510-2020</t>
        </is>
      </c>
      <c r="B2474" s="1" t="n">
        <v>44178</v>
      </c>
      <c r="C2474" s="1" t="n">
        <v>45828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66504-2020</t>
        </is>
      </c>
      <c r="B2475" s="1" t="n">
        <v>44178</v>
      </c>
      <c r="C2475" s="1" t="n">
        <v>45828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66501-2020</t>
        </is>
      </c>
      <c r="B2476" s="1" t="n">
        <v>44178</v>
      </c>
      <c r="C2476" s="1" t="n">
        <v>45828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66760-2020</t>
        </is>
      </c>
      <c r="B2477" s="1" t="n">
        <v>44179</v>
      </c>
      <c r="C2477" s="1" t="n">
        <v>45828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66923-2020</t>
        </is>
      </c>
      <c r="B2478" s="1" t="n">
        <v>44180</v>
      </c>
      <c r="C2478" s="1" t="n">
        <v>45828</v>
      </c>
      <c r="D2478" t="inlineStr">
        <is>
          <t>JÖNKÖPINGS LÄN</t>
        </is>
      </c>
      <c r="E2478" t="inlineStr">
        <is>
          <t>VAGGERYD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67320-2020</t>
        </is>
      </c>
      <c r="B2479" s="1" t="n">
        <v>44180</v>
      </c>
      <c r="C2479" s="1" t="n">
        <v>45828</v>
      </c>
      <c r="D2479" t="inlineStr">
        <is>
          <t>JÖNKÖPINGS LÄN</t>
        </is>
      </c>
      <c r="E2479" t="inlineStr">
        <is>
          <t>SÄVSJÖ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67399-2020</t>
        </is>
      </c>
      <c r="B2480" s="1" t="n">
        <v>44181</v>
      </c>
      <c r="C2480" s="1" t="n">
        <v>45828</v>
      </c>
      <c r="D2480" t="inlineStr">
        <is>
          <t>JÖNKÖPINGS LÄN</t>
        </is>
      </c>
      <c r="E2480" t="inlineStr">
        <is>
          <t>SÄVSJÖ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67449-2020</t>
        </is>
      </c>
      <c r="B2481" s="1" t="n">
        <v>44181</v>
      </c>
      <c r="C2481" s="1" t="n">
        <v>45828</v>
      </c>
      <c r="D2481" t="inlineStr">
        <is>
          <t>JÖNKÖPINGS LÄN</t>
        </is>
      </c>
      <c r="E2481" t="inlineStr">
        <is>
          <t>EKSJÖ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67476-2020</t>
        </is>
      </c>
      <c r="B2482" s="1" t="n">
        <v>44181</v>
      </c>
      <c r="C2482" s="1" t="n">
        <v>45828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67469-2020</t>
        </is>
      </c>
      <c r="B2483" s="1" t="n">
        <v>44181</v>
      </c>
      <c r="C2483" s="1" t="n">
        <v>45828</v>
      </c>
      <c r="D2483" t="inlineStr">
        <is>
          <t>JÖNKÖPINGS LÄN</t>
        </is>
      </c>
      <c r="E2483" t="inlineStr">
        <is>
          <t>VETLANDA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67489-2020</t>
        </is>
      </c>
      <c r="B2484" s="1" t="n">
        <v>44181</v>
      </c>
      <c r="C2484" s="1" t="n">
        <v>45828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67352-2020</t>
        </is>
      </c>
      <c r="B2485" s="1" t="n">
        <v>44181</v>
      </c>
      <c r="C2485" s="1" t="n">
        <v>45828</v>
      </c>
      <c r="D2485" t="inlineStr">
        <is>
          <t>JÖNKÖPINGS LÄN</t>
        </is>
      </c>
      <c r="E2485" t="inlineStr">
        <is>
          <t>VÄRNAMO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67466-2020</t>
        </is>
      </c>
      <c r="B2486" s="1" t="n">
        <v>44181</v>
      </c>
      <c r="C2486" s="1" t="n">
        <v>45828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67695-2020</t>
        </is>
      </c>
      <c r="B2487" s="1" t="n">
        <v>44181</v>
      </c>
      <c r="C2487" s="1" t="n">
        <v>45828</v>
      </c>
      <c r="D2487" t="inlineStr">
        <is>
          <t>JÖNKÖPINGS LÄN</t>
        </is>
      </c>
      <c r="E2487" t="inlineStr">
        <is>
          <t>JÖNKÖPING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67515-2020</t>
        </is>
      </c>
      <c r="B2488" s="1" t="n">
        <v>44181</v>
      </c>
      <c r="C2488" s="1" t="n">
        <v>45828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67848-2020</t>
        </is>
      </c>
      <c r="B2489" s="1" t="n">
        <v>44182</v>
      </c>
      <c r="C2489" s="1" t="n">
        <v>45828</v>
      </c>
      <c r="D2489" t="inlineStr">
        <is>
          <t>JÖNKÖPINGS LÄN</t>
        </is>
      </c>
      <c r="E2489" t="inlineStr">
        <is>
          <t>ANEBY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67969-2020</t>
        </is>
      </c>
      <c r="B2490" s="1" t="n">
        <v>44182</v>
      </c>
      <c r="C2490" s="1" t="n">
        <v>45828</v>
      </c>
      <c r="D2490" t="inlineStr">
        <is>
          <t>JÖNKÖPINGS LÄN</t>
        </is>
      </c>
      <c r="E2490" t="inlineStr">
        <is>
          <t>NÄSSJÖ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68245-2020</t>
        </is>
      </c>
      <c r="B2491" s="1" t="n">
        <v>44183</v>
      </c>
      <c r="C2491" s="1" t="n">
        <v>45828</v>
      </c>
      <c r="D2491" t="inlineStr">
        <is>
          <t>JÖNKÖPINGS LÄN</t>
        </is>
      </c>
      <c r="E2491" t="inlineStr">
        <is>
          <t>JÖNKÖPING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68303-2020</t>
        </is>
      </c>
      <c r="B2492" s="1" t="n">
        <v>44185</v>
      </c>
      <c r="C2492" s="1" t="n">
        <v>45828</v>
      </c>
      <c r="D2492" t="inlineStr">
        <is>
          <t>JÖNKÖPINGS LÄN</t>
        </is>
      </c>
      <c r="E2492" t="inlineStr">
        <is>
          <t>VETLANDA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68317-2020</t>
        </is>
      </c>
      <c r="B2493" s="1" t="n">
        <v>44185</v>
      </c>
      <c r="C2493" s="1" t="n">
        <v>45828</v>
      </c>
      <c r="D2493" t="inlineStr">
        <is>
          <t>JÖNKÖPINGS LÄN</t>
        </is>
      </c>
      <c r="E2493" t="inlineStr">
        <is>
          <t>VETLANDA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68306-2020</t>
        </is>
      </c>
      <c r="B2494" s="1" t="n">
        <v>44185</v>
      </c>
      <c r="C2494" s="1" t="n">
        <v>45828</v>
      </c>
      <c r="D2494" t="inlineStr">
        <is>
          <t>JÖNKÖPINGS LÄN</t>
        </is>
      </c>
      <c r="E2494" t="inlineStr">
        <is>
          <t>VETLANDA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68316-2020</t>
        </is>
      </c>
      <c r="B2495" s="1" t="n">
        <v>44185</v>
      </c>
      <c r="C2495" s="1" t="n">
        <v>45828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68380-2020</t>
        </is>
      </c>
      <c r="B2496" s="1" t="n">
        <v>44186</v>
      </c>
      <c r="C2496" s="1" t="n">
        <v>45828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68477-2020</t>
        </is>
      </c>
      <c r="B2497" s="1" t="n">
        <v>44186</v>
      </c>
      <c r="C2497" s="1" t="n">
        <v>45828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68431-2020</t>
        </is>
      </c>
      <c r="B2498" s="1" t="n">
        <v>44186</v>
      </c>
      <c r="C2498" s="1" t="n">
        <v>45828</v>
      </c>
      <c r="D2498" t="inlineStr">
        <is>
          <t>JÖNKÖPINGS LÄN</t>
        </is>
      </c>
      <c r="E2498" t="inlineStr">
        <is>
          <t>SÄVSJÖ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68338-2020</t>
        </is>
      </c>
      <c r="B2499" s="1" t="n">
        <v>44186</v>
      </c>
      <c r="C2499" s="1" t="n">
        <v>45828</v>
      </c>
      <c r="D2499" t="inlineStr">
        <is>
          <t>JÖNKÖPINGS LÄN</t>
        </is>
      </c>
      <c r="E2499" t="inlineStr">
        <is>
          <t>SÄVSJÖ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68418-2020</t>
        </is>
      </c>
      <c r="B2500" s="1" t="n">
        <v>44186</v>
      </c>
      <c r="C2500" s="1" t="n">
        <v>45828</v>
      </c>
      <c r="D2500" t="inlineStr">
        <is>
          <t>JÖNKÖPINGS LÄN</t>
        </is>
      </c>
      <c r="E2500" t="inlineStr">
        <is>
          <t>GNOSJÖ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68437-2020</t>
        </is>
      </c>
      <c r="B2501" s="1" t="n">
        <v>44186</v>
      </c>
      <c r="C2501" s="1" t="n">
        <v>45828</v>
      </c>
      <c r="D2501" t="inlineStr">
        <is>
          <t>JÖNKÖPINGS LÄN</t>
        </is>
      </c>
      <c r="E2501" t="inlineStr">
        <is>
          <t>TRANÅS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68482-2020</t>
        </is>
      </c>
      <c r="B2502" s="1" t="n">
        <v>44186</v>
      </c>
      <c r="C2502" s="1" t="n">
        <v>45828</v>
      </c>
      <c r="D2502" t="inlineStr">
        <is>
          <t>JÖNKÖPINGS LÄN</t>
        </is>
      </c>
      <c r="E2502" t="inlineStr">
        <is>
          <t>VETLANDA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68722-2020</t>
        </is>
      </c>
      <c r="B2503" s="1" t="n">
        <v>44186</v>
      </c>
      <c r="C2503" s="1" t="n">
        <v>45828</v>
      </c>
      <c r="D2503" t="inlineStr">
        <is>
          <t>JÖNKÖPINGS LÄN</t>
        </is>
      </c>
      <c r="E2503" t="inlineStr">
        <is>
          <t>EKSJÖ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68400-2020</t>
        </is>
      </c>
      <c r="B2504" s="1" t="n">
        <v>44186</v>
      </c>
      <c r="C2504" s="1" t="n">
        <v>45828</v>
      </c>
      <c r="D2504" t="inlineStr">
        <is>
          <t>JÖNKÖPINGS LÄN</t>
        </is>
      </c>
      <c r="E2504" t="inlineStr">
        <is>
          <t>ANEBY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68750-2020</t>
        </is>
      </c>
      <c r="B2505" s="1" t="n">
        <v>44187</v>
      </c>
      <c r="C2505" s="1" t="n">
        <v>45828</v>
      </c>
      <c r="D2505" t="inlineStr">
        <is>
          <t>JÖNKÖPINGS LÄN</t>
        </is>
      </c>
      <c r="E2505" t="inlineStr">
        <is>
          <t>JÖNKÖPING</t>
        </is>
      </c>
      <c r="F2505" t="inlineStr">
        <is>
          <t>Sveaskog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68837-2020</t>
        </is>
      </c>
      <c r="B2506" s="1" t="n">
        <v>44187</v>
      </c>
      <c r="C2506" s="1" t="n">
        <v>45828</v>
      </c>
      <c r="D2506" t="inlineStr">
        <is>
          <t>JÖNKÖPINGS LÄN</t>
        </is>
      </c>
      <c r="E2506" t="inlineStr">
        <is>
          <t>MULLSJÖ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68939-2020</t>
        </is>
      </c>
      <c r="B2507" s="1" t="n">
        <v>44187</v>
      </c>
      <c r="C2507" s="1" t="n">
        <v>45828</v>
      </c>
      <c r="D2507" t="inlineStr">
        <is>
          <t>JÖNKÖPINGS LÄN</t>
        </is>
      </c>
      <c r="E2507" t="inlineStr">
        <is>
          <t>EKSJÖ</t>
        </is>
      </c>
      <c r="F2507" t="inlineStr">
        <is>
          <t>Kyrkan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68780-2020</t>
        </is>
      </c>
      <c r="B2508" s="1" t="n">
        <v>44187</v>
      </c>
      <c r="C2508" s="1" t="n">
        <v>45828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68915-2020</t>
        </is>
      </c>
      <c r="B2509" s="1" t="n">
        <v>44187</v>
      </c>
      <c r="C2509" s="1" t="n">
        <v>45828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69072-2020</t>
        </is>
      </c>
      <c r="B2510" s="1" t="n">
        <v>44187</v>
      </c>
      <c r="C2510" s="1" t="n">
        <v>45828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68943-2020</t>
        </is>
      </c>
      <c r="B2511" s="1" t="n">
        <v>44187</v>
      </c>
      <c r="C2511" s="1" t="n">
        <v>45828</v>
      </c>
      <c r="D2511" t="inlineStr">
        <is>
          <t>JÖNKÖPINGS LÄN</t>
        </is>
      </c>
      <c r="E2511" t="inlineStr">
        <is>
          <t>TRANÅS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68980-2020</t>
        </is>
      </c>
      <c r="B2512" s="1" t="n">
        <v>44188</v>
      </c>
      <c r="C2512" s="1" t="n">
        <v>45828</v>
      </c>
      <c r="D2512" t="inlineStr">
        <is>
          <t>JÖNKÖPINGS LÄN</t>
        </is>
      </c>
      <c r="E2512" t="inlineStr">
        <is>
          <t>JÖNKÖPING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69003-2020</t>
        </is>
      </c>
      <c r="B2513" s="1" t="n">
        <v>44188</v>
      </c>
      <c r="C2513" s="1" t="n">
        <v>45828</v>
      </c>
      <c r="D2513" t="inlineStr">
        <is>
          <t>JÖNKÖPINGS LÄN</t>
        </is>
      </c>
      <c r="E2513" t="inlineStr">
        <is>
          <t>VETLANDA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69151-2020</t>
        </is>
      </c>
      <c r="B2514" s="1" t="n">
        <v>44188</v>
      </c>
      <c r="C2514" s="1" t="n">
        <v>45828</v>
      </c>
      <c r="D2514" t="inlineStr">
        <is>
          <t>JÖNKÖPINGS LÄN</t>
        </is>
      </c>
      <c r="E2514" t="inlineStr">
        <is>
          <t>VETLANDA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69152-2020</t>
        </is>
      </c>
      <c r="B2515" s="1" t="n">
        <v>44188</v>
      </c>
      <c r="C2515" s="1" t="n">
        <v>45828</v>
      </c>
      <c r="D2515" t="inlineStr">
        <is>
          <t>JÖNKÖPINGS LÄN</t>
        </is>
      </c>
      <c r="E2515" t="inlineStr">
        <is>
          <t>VETLANDA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69314-2020</t>
        </is>
      </c>
      <c r="B2516" s="1" t="n">
        <v>44188</v>
      </c>
      <c r="C2516" s="1" t="n">
        <v>45828</v>
      </c>
      <c r="D2516" t="inlineStr">
        <is>
          <t>JÖNKÖPINGS LÄN</t>
        </is>
      </c>
      <c r="E2516" t="inlineStr">
        <is>
          <t>VÄRNAMO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69566-2020</t>
        </is>
      </c>
      <c r="B2517" s="1" t="n">
        <v>44194</v>
      </c>
      <c r="C2517" s="1" t="n">
        <v>45828</v>
      </c>
      <c r="D2517" t="inlineStr">
        <is>
          <t>JÖNKÖPINGS LÄN</t>
        </is>
      </c>
      <c r="E2517" t="inlineStr">
        <is>
          <t>JÖNKÖPING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69616-2020</t>
        </is>
      </c>
      <c r="B2518" s="1" t="n">
        <v>44195</v>
      </c>
      <c r="C2518" s="1" t="n">
        <v>45828</v>
      </c>
      <c r="D2518" t="inlineStr">
        <is>
          <t>JÖNKÖPINGS LÄN</t>
        </is>
      </c>
      <c r="E2518" t="inlineStr">
        <is>
          <t>SÄVSJÖ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111-2021</t>
        </is>
      </c>
      <c r="B2519" s="1" t="n">
        <v>44196</v>
      </c>
      <c r="C2519" s="1" t="n">
        <v>45828</v>
      </c>
      <c r="D2519" t="inlineStr">
        <is>
          <t>JÖNKÖPINGS LÄN</t>
        </is>
      </c>
      <c r="E2519" t="inlineStr">
        <is>
          <t>VETLANDA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80-2021</t>
        </is>
      </c>
      <c r="B2520" s="1" t="n">
        <v>44200</v>
      </c>
      <c r="C2520" s="1" t="n">
        <v>45828</v>
      </c>
      <c r="D2520" t="inlineStr">
        <is>
          <t>JÖNKÖPINGS LÄN</t>
        </is>
      </c>
      <c r="E2520" t="inlineStr">
        <is>
          <t>NÄSSJÖ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86-2021</t>
        </is>
      </c>
      <c r="B2521" s="1" t="n">
        <v>44200</v>
      </c>
      <c r="C2521" s="1" t="n">
        <v>45828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95-2021</t>
        </is>
      </c>
      <c r="B2522" s="1" t="n">
        <v>44200</v>
      </c>
      <c r="C2522" s="1" t="n">
        <v>45828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89-2021</t>
        </is>
      </c>
      <c r="B2523" s="1" t="n">
        <v>44200</v>
      </c>
      <c r="C2523" s="1" t="n">
        <v>45828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106-2021</t>
        </is>
      </c>
      <c r="B2524" s="1" t="n">
        <v>44200</v>
      </c>
      <c r="C2524" s="1" t="n">
        <v>45828</v>
      </c>
      <c r="D2524" t="inlineStr">
        <is>
          <t>JÖNKÖPINGS LÄN</t>
        </is>
      </c>
      <c r="E2524" t="inlineStr">
        <is>
          <t>JÖNKÖPING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361-2021</t>
        </is>
      </c>
      <c r="B2525" s="1" t="n">
        <v>44201</v>
      </c>
      <c r="C2525" s="1" t="n">
        <v>45828</v>
      </c>
      <c r="D2525" t="inlineStr">
        <is>
          <t>JÖNKÖPINGS LÄN</t>
        </is>
      </c>
      <c r="E2525" t="inlineStr">
        <is>
          <t>VETLANDA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584-2021</t>
        </is>
      </c>
      <c r="B2526" s="1" t="n">
        <v>44201</v>
      </c>
      <c r="C2526" s="1" t="n">
        <v>45828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581-2021</t>
        </is>
      </c>
      <c r="B2527" s="1" t="n">
        <v>44203</v>
      </c>
      <c r="C2527" s="1" t="n">
        <v>45828</v>
      </c>
      <c r="D2527" t="inlineStr">
        <is>
          <t>JÖNKÖPINGS LÄN</t>
        </is>
      </c>
      <c r="E2527" t="inlineStr">
        <is>
          <t>GNOSJÖ</t>
        </is>
      </c>
      <c r="G2527" t="n">
        <v>15.2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488-2021</t>
        </is>
      </c>
      <c r="B2528" s="1" t="n">
        <v>44203</v>
      </c>
      <c r="C2528" s="1" t="n">
        <v>45828</v>
      </c>
      <c r="D2528" t="inlineStr">
        <is>
          <t>JÖNKÖPINGS LÄN</t>
        </is>
      </c>
      <c r="E2528" t="inlineStr">
        <is>
          <t>EKSJÖ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600-2021</t>
        </is>
      </c>
      <c r="B2529" s="1" t="n">
        <v>44203</v>
      </c>
      <c r="C2529" s="1" t="n">
        <v>45828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848-2021</t>
        </is>
      </c>
      <c r="B2530" s="1" t="n">
        <v>44204</v>
      </c>
      <c r="C2530" s="1" t="n">
        <v>45828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753-2021</t>
        </is>
      </c>
      <c r="B2531" s="1" t="n">
        <v>44204</v>
      </c>
      <c r="C2531" s="1" t="n">
        <v>45828</v>
      </c>
      <c r="D2531" t="inlineStr">
        <is>
          <t>JÖNKÖPINGS LÄN</t>
        </is>
      </c>
      <c r="E2531" t="inlineStr">
        <is>
          <t>VETLANDA</t>
        </is>
      </c>
      <c r="F2531" t="inlineStr">
        <is>
          <t>Sveaskog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791-2021</t>
        </is>
      </c>
      <c r="B2532" s="1" t="n">
        <v>44204</v>
      </c>
      <c r="C2532" s="1" t="n">
        <v>45828</v>
      </c>
      <c r="D2532" t="inlineStr">
        <is>
          <t>JÖNKÖPINGS LÄN</t>
        </is>
      </c>
      <c r="E2532" t="inlineStr">
        <is>
          <t>VÄRNAMO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733-2021</t>
        </is>
      </c>
      <c r="B2533" s="1" t="n">
        <v>44204</v>
      </c>
      <c r="C2533" s="1" t="n">
        <v>45828</v>
      </c>
      <c r="D2533" t="inlineStr">
        <is>
          <t>JÖNKÖPINGS LÄN</t>
        </is>
      </c>
      <c r="E2533" t="inlineStr">
        <is>
          <t>VÄRNAMO</t>
        </is>
      </c>
      <c r="G2533" t="n">
        <v>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813-2021</t>
        </is>
      </c>
      <c r="B2534" s="1" t="n">
        <v>44204</v>
      </c>
      <c r="C2534" s="1" t="n">
        <v>45828</v>
      </c>
      <c r="D2534" t="inlineStr">
        <is>
          <t>JÖNKÖPINGS LÄN</t>
        </is>
      </c>
      <c r="E2534" t="inlineStr">
        <is>
          <t>VETLANDA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792-2021</t>
        </is>
      </c>
      <c r="B2535" s="1" t="n">
        <v>44204</v>
      </c>
      <c r="C2535" s="1" t="n">
        <v>45828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879-2021</t>
        </is>
      </c>
      <c r="B2536" s="1" t="n">
        <v>44205</v>
      </c>
      <c r="C2536" s="1" t="n">
        <v>45828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877-2021</t>
        </is>
      </c>
      <c r="B2537" s="1" t="n">
        <v>44205</v>
      </c>
      <c r="C2537" s="1" t="n">
        <v>45828</v>
      </c>
      <c r="D2537" t="inlineStr">
        <is>
          <t>JÖNKÖPINGS LÄN</t>
        </is>
      </c>
      <c r="E2537" t="inlineStr">
        <is>
          <t>VETLANDA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876-2021</t>
        </is>
      </c>
      <c r="B2538" s="1" t="n">
        <v>44205</v>
      </c>
      <c r="C2538" s="1" t="n">
        <v>45828</v>
      </c>
      <c r="D2538" t="inlineStr">
        <is>
          <t>JÖNKÖPINGS LÄN</t>
        </is>
      </c>
      <c r="E2538" t="inlineStr">
        <is>
          <t>VETLANDA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1111-2021</t>
        </is>
      </c>
      <c r="B2539" s="1" t="n">
        <v>44207</v>
      </c>
      <c r="C2539" s="1" t="n">
        <v>45828</v>
      </c>
      <c r="D2539" t="inlineStr">
        <is>
          <t>JÖNKÖPINGS LÄN</t>
        </is>
      </c>
      <c r="E2539" t="inlineStr">
        <is>
          <t>VAGGERYD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963-2021</t>
        </is>
      </c>
      <c r="B2540" s="1" t="n">
        <v>44207</v>
      </c>
      <c r="C2540" s="1" t="n">
        <v>45828</v>
      </c>
      <c r="D2540" t="inlineStr">
        <is>
          <t>JÖNKÖPINGS LÄN</t>
        </is>
      </c>
      <c r="E2540" t="inlineStr">
        <is>
          <t>VETLANDA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928-2021</t>
        </is>
      </c>
      <c r="B2541" s="1" t="n">
        <v>44207</v>
      </c>
      <c r="C2541" s="1" t="n">
        <v>45828</v>
      </c>
      <c r="D2541" t="inlineStr">
        <is>
          <t>JÖNKÖPINGS LÄN</t>
        </is>
      </c>
      <c r="E2541" t="inlineStr">
        <is>
          <t>NÄSSJÖ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1033-2021</t>
        </is>
      </c>
      <c r="B2542" s="1" t="n">
        <v>44207</v>
      </c>
      <c r="C2542" s="1" t="n">
        <v>45828</v>
      </c>
      <c r="D2542" t="inlineStr">
        <is>
          <t>JÖNKÖPINGS LÄN</t>
        </is>
      </c>
      <c r="E2542" t="inlineStr">
        <is>
          <t>SÄVSJÖ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1062-2021</t>
        </is>
      </c>
      <c r="B2543" s="1" t="n">
        <v>44207</v>
      </c>
      <c r="C2543" s="1" t="n">
        <v>45828</v>
      </c>
      <c r="D2543" t="inlineStr">
        <is>
          <t>JÖNKÖPINGS LÄN</t>
        </is>
      </c>
      <c r="E2543" t="inlineStr">
        <is>
          <t>GISLAVED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1220-2021</t>
        </is>
      </c>
      <c r="B2544" s="1" t="n">
        <v>44208</v>
      </c>
      <c r="C2544" s="1" t="n">
        <v>45828</v>
      </c>
      <c r="D2544" t="inlineStr">
        <is>
          <t>JÖNKÖPINGS LÄN</t>
        </is>
      </c>
      <c r="E2544" t="inlineStr">
        <is>
          <t>GISLAVED</t>
        </is>
      </c>
      <c r="F2544" t="inlineStr">
        <is>
          <t>Kyrkan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1218-2021</t>
        </is>
      </c>
      <c r="B2545" s="1" t="n">
        <v>44208</v>
      </c>
      <c r="C2545" s="1" t="n">
        <v>45828</v>
      </c>
      <c r="D2545" t="inlineStr">
        <is>
          <t>JÖNKÖPINGS LÄN</t>
        </is>
      </c>
      <c r="E2545" t="inlineStr">
        <is>
          <t>EKSJÖ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1371-2021</t>
        </is>
      </c>
      <c r="B2546" s="1" t="n">
        <v>44208</v>
      </c>
      <c r="C2546" s="1" t="n">
        <v>45828</v>
      </c>
      <c r="D2546" t="inlineStr">
        <is>
          <t>JÖNKÖPINGS LÄN</t>
        </is>
      </c>
      <c r="E2546" t="inlineStr">
        <is>
          <t>MULLSJÖ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1388-2021</t>
        </is>
      </c>
      <c r="B2547" s="1" t="n">
        <v>44208</v>
      </c>
      <c r="C2547" s="1" t="n">
        <v>45828</v>
      </c>
      <c r="D2547" t="inlineStr">
        <is>
          <t>JÖNKÖPINGS LÄN</t>
        </is>
      </c>
      <c r="E2547" t="inlineStr">
        <is>
          <t>HABO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1312-2021</t>
        </is>
      </c>
      <c r="B2548" s="1" t="n">
        <v>44208</v>
      </c>
      <c r="C2548" s="1" t="n">
        <v>45828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1396-2021</t>
        </is>
      </c>
      <c r="B2549" s="1" t="n">
        <v>44208</v>
      </c>
      <c r="C2549" s="1" t="n">
        <v>45828</v>
      </c>
      <c r="D2549" t="inlineStr">
        <is>
          <t>JÖNKÖPINGS LÄN</t>
        </is>
      </c>
      <c r="E2549" t="inlineStr">
        <is>
          <t>HABO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1400-2021</t>
        </is>
      </c>
      <c r="B2550" s="1" t="n">
        <v>44208</v>
      </c>
      <c r="C2550" s="1" t="n">
        <v>45828</v>
      </c>
      <c r="D2550" t="inlineStr">
        <is>
          <t>JÖNKÖPINGS LÄN</t>
        </is>
      </c>
      <c r="E2550" t="inlineStr">
        <is>
          <t>HABO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1412-2021</t>
        </is>
      </c>
      <c r="B2551" s="1" t="n">
        <v>44208</v>
      </c>
      <c r="C2551" s="1" t="n">
        <v>45828</v>
      </c>
      <c r="D2551" t="inlineStr">
        <is>
          <t>JÖNKÖPINGS LÄN</t>
        </is>
      </c>
      <c r="E2551" t="inlineStr">
        <is>
          <t>HABO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1442-2021</t>
        </is>
      </c>
      <c r="B2552" s="1" t="n">
        <v>44208</v>
      </c>
      <c r="C2552" s="1" t="n">
        <v>45828</v>
      </c>
      <c r="D2552" t="inlineStr">
        <is>
          <t>JÖNKÖPINGS LÄN</t>
        </is>
      </c>
      <c r="E2552" t="inlineStr">
        <is>
          <t>SÄVSJÖ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1546-2021</t>
        </is>
      </c>
      <c r="B2553" s="1" t="n">
        <v>44209</v>
      </c>
      <c r="C2553" s="1" t="n">
        <v>45828</v>
      </c>
      <c r="D2553" t="inlineStr">
        <is>
          <t>JÖNKÖPINGS LÄN</t>
        </is>
      </c>
      <c r="E2553" t="inlineStr">
        <is>
          <t>VAGGERYD</t>
        </is>
      </c>
      <c r="G2553" t="n">
        <v>0.2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1607-2021</t>
        </is>
      </c>
      <c r="B2554" s="1" t="n">
        <v>44209</v>
      </c>
      <c r="C2554" s="1" t="n">
        <v>45828</v>
      </c>
      <c r="D2554" t="inlineStr">
        <is>
          <t>JÖNKÖPINGS LÄN</t>
        </is>
      </c>
      <c r="E2554" t="inlineStr">
        <is>
          <t>VÄRNAMO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1529-2021</t>
        </is>
      </c>
      <c r="B2555" s="1" t="n">
        <v>44209</v>
      </c>
      <c r="C2555" s="1" t="n">
        <v>45828</v>
      </c>
      <c r="D2555" t="inlineStr">
        <is>
          <t>JÖNKÖPINGS LÄN</t>
        </is>
      </c>
      <c r="E2555" t="inlineStr">
        <is>
          <t>GISLAVED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1739-2021</t>
        </is>
      </c>
      <c r="B2556" s="1" t="n">
        <v>44209</v>
      </c>
      <c r="C2556" s="1" t="n">
        <v>45828</v>
      </c>
      <c r="D2556" t="inlineStr">
        <is>
          <t>JÖNKÖPINGS LÄN</t>
        </is>
      </c>
      <c r="E2556" t="inlineStr">
        <is>
          <t>VETLANDA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1697-2021</t>
        </is>
      </c>
      <c r="B2557" s="1" t="n">
        <v>44209</v>
      </c>
      <c r="C2557" s="1" t="n">
        <v>45828</v>
      </c>
      <c r="D2557" t="inlineStr">
        <is>
          <t>JÖNKÖPINGS LÄN</t>
        </is>
      </c>
      <c r="E2557" t="inlineStr">
        <is>
          <t>EKSJÖ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1791-2021</t>
        </is>
      </c>
      <c r="B2558" s="1" t="n">
        <v>44210</v>
      </c>
      <c r="C2558" s="1" t="n">
        <v>45828</v>
      </c>
      <c r="D2558" t="inlineStr">
        <is>
          <t>JÖNKÖPINGS LÄN</t>
        </is>
      </c>
      <c r="E2558" t="inlineStr">
        <is>
          <t>ANEBY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1870-2021</t>
        </is>
      </c>
      <c r="B2559" s="1" t="n">
        <v>44210</v>
      </c>
      <c r="C2559" s="1" t="n">
        <v>45828</v>
      </c>
      <c r="D2559" t="inlineStr">
        <is>
          <t>JÖNKÖPINGS LÄN</t>
        </is>
      </c>
      <c r="E2559" t="inlineStr">
        <is>
          <t>VÄRNAMO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2030-2021</t>
        </is>
      </c>
      <c r="B2560" s="1" t="n">
        <v>44211</v>
      </c>
      <c r="C2560" s="1" t="n">
        <v>45828</v>
      </c>
      <c r="D2560" t="inlineStr">
        <is>
          <t>JÖNKÖPINGS LÄN</t>
        </is>
      </c>
      <c r="E2560" t="inlineStr">
        <is>
          <t>EKSJÖ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2052-2021</t>
        </is>
      </c>
      <c r="B2561" s="1" t="n">
        <v>44211</v>
      </c>
      <c r="C2561" s="1" t="n">
        <v>45828</v>
      </c>
      <c r="D2561" t="inlineStr">
        <is>
          <t>JÖNKÖPINGS LÄN</t>
        </is>
      </c>
      <c r="E2561" t="inlineStr">
        <is>
          <t>JÖNKÖPING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2270-2021</t>
        </is>
      </c>
      <c r="B2562" s="1" t="n">
        <v>44211</v>
      </c>
      <c r="C2562" s="1" t="n">
        <v>45828</v>
      </c>
      <c r="D2562" t="inlineStr">
        <is>
          <t>JÖNKÖPINGS LÄN</t>
        </is>
      </c>
      <c r="E2562" t="inlineStr">
        <is>
          <t>EKSJÖ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2143-2021</t>
        </is>
      </c>
      <c r="B2563" s="1" t="n">
        <v>44211</v>
      </c>
      <c r="C2563" s="1" t="n">
        <v>45828</v>
      </c>
      <c r="D2563" t="inlineStr">
        <is>
          <t>JÖNKÖPINGS LÄN</t>
        </is>
      </c>
      <c r="E2563" t="inlineStr">
        <is>
          <t>VÄRNAMO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2170-2021</t>
        </is>
      </c>
      <c r="B2564" s="1" t="n">
        <v>44211</v>
      </c>
      <c r="C2564" s="1" t="n">
        <v>45828</v>
      </c>
      <c r="D2564" t="inlineStr">
        <is>
          <t>JÖNKÖPINGS LÄN</t>
        </is>
      </c>
      <c r="E2564" t="inlineStr">
        <is>
          <t>GNOSJÖ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2340-2021</t>
        </is>
      </c>
      <c r="B2565" s="1" t="n">
        <v>44214</v>
      </c>
      <c r="C2565" s="1" t="n">
        <v>45828</v>
      </c>
      <c r="D2565" t="inlineStr">
        <is>
          <t>JÖNKÖPINGS LÄN</t>
        </is>
      </c>
      <c r="E2565" t="inlineStr">
        <is>
          <t>VÄRNAMO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2350-2021</t>
        </is>
      </c>
      <c r="B2566" s="1" t="n">
        <v>44214</v>
      </c>
      <c r="C2566" s="1" t="n">
        <v>45828</v>
      </c>
      <c r="D2566" t="inlineStr">
        <is>
          <t>JÖNKÖPINGS LÄN</t>
        </is>
      </c>
      <c r="E2566" t="inlineStr">
        <is>
          <t>VÄRNAMO</t>
        </is>
      </c>
      <c r="F2566" t="inlineStr">
        <is>
          <t>Sveaskog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2346-2021</t>
        </is>
      </c>
      <c r="B2567" s="1" t="n">
        <v>44214</v>
      </c>
      <c r="C2567" s="1" t="n">
        <v>45828</v>
      </c>
      <c r="D2567" t="inlineStr">
        <is>
          <t>JÖNKÖPINGS LÄN</t>
        </is>
      </c>
      <c r="E2567" t="inlineStr">
        <is>
          <t>VÄRNAMO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2440-2021</t>
        </is>
      </c>
      <c r="B2568" s="1" t="n">
        <v>44214</v>
      </c>
      <c r="C2568" s="1" t="n">
        <v>45828</v>
      </c>
      <c r="D2568" t="inlineStr">
        <is>
          <t>JÖNKÖPINGS LÄN</t>
        </is>
      </c>
      <c r="E2568" t="inlineStr">
        <is>
          <t>VÄRNAMO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2352-2021</t>
        </is>
      </c>
      <c r="B2569" s="1" t="n">
        <v>44214</v>
      </c>
      <c r="C2569" s="1" t="n">
        <v>45828</v>
      </c>
      <c r="D2569" t="inlineStr">
        <is>
          <t>JÖNKÖPINGS LÄN</t>
        </is>
      </c>
      <c r="E2569" t="inlineStr">
        <is>
          <t>SÄVSJÖ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2526-2021</t>
        </is>
      </c>
      <c r="B2570" s="1" t="n">
        <v>44214</v>
      </c>
      <c r="C2570" s="1" t="n">
        <v>45828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2525-2021</t>
        </is>
      </c>
      <c r="B2571" s="1" t="n">
        <v>44214</v>
      </c>
      <c r="C2571" s="1" t="n">
        <v>45828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2537-2021</t>
        </is>
      </c>
      <c r="B2572" s="1" t="n">
        <v>44214</v>
      </c>
      <c r="C2572" s="1" t="n">
        <v>45828</v>
      </c>
      <c r="D2572" t="inlineStr">
        <is>
          <t>JÖNKÖPINGS LÄN</t>
        </is>
      </c>
      <c r="E2572" t="inlineStr">
        <is>
          <t>TRANÅS</t>
        </is>
      </c>
      <c r="F2572" t="inlineStr">
        <is>
          <t>Kommuner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2871-2021</t>
        </is>
      </c>
      <c r="B2573" s="1" t="n">
        <v>44214</v>
      </c>
      <c r="C2573" s="1" t="n">
        <v>45828</v>
      </c>
      <c r="D2573" t="inlineStr">
        <is>
          <t>JÖNKÖPINGS LÄN</t>
        </is>
      </c>
      <c r="E2573" t="inlineStr">
        <is>
          <t>VETLANDA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2648-2021</t>
        </is>
      </c>
      <c r="B2574" s="1" t="n">
        <v>44215</v>
      </c>
      <c r="C2574" s="1" t="n">
        <v>45828</v>
      </c>
      <c r="D2574" t="inlineStr">
        <is>
          <t>JÖNKÖPINGS LÄN</t>
        </is>
      </c>
      <c r="E2574" t="inlineStr">
        <is>
          <t>EKSJÖ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2682-2021</t>
        </is>
      </c>
      <c r="B2575" s="1" t="n">
        <v>44215</v>
      </c>
      <c r="C2575" s="1" t="n">
        <v>45828</v>
      </c>
      <c r="D2575" t="inlineStr">
        <is>
          <t>JÖNKÖPINGS LÄN</t>
        </is>
      </c>
      <c r="E2575" t="inlineStr">
        <is>
          <t>EKSJÖ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2739-2021</t>
        </is>
      </c>
      <c r="B2576" s="1" t="n">
        <v>44215</v>
      </c>
      <c r="C2576" s="1" t="n">
        <v>45828</v>
      </c>
      <c r="D2576" t="inlineStr">
        <is>
          <t>JÖNKÖPINGS LÄN</t>
        </is>
      </c>
      <c r="E2576" t="inlineStr">
        <is>
          <t>GISLAVED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2664-2021</t>
        </is>
      </c>
      <c r="B2577" s="1" t="n">
        <v>44215</v>
      </c>
      <c r="C2577" s="1" t="n">
        <v>45828</v>
      </c>
      <c r="D2577" t="inlineStr">
        <is>
          <t>JÖNKÖPINGS LÄN</t>
        </is>
      </c>
      <c r="E2577" t="inlineStr">
        <is>
          <t>TRANÅS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2649-2021</t>
        </is>
      </c>
      <c r="B2578" s="1" t="n">
        <v>44215</v>
      </c>
      <c r="C2578" s="1" t="n">
        <v>45828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2759-2021</t>
        </is>
      </c>
      <c r="B2579" s="1" t="n">
        <v>44215</v>
      </c>
      <c r="C2579" s="1" t="n">
        <v>45828</v>
      </c>
      <c r="D2579" t="inlineStr">
        <is>
          <t>JÖNKÖPINGS LÄN</t>
        </is>
      </c>
      <c r="E2579" t="inlineStr">
        <is>
          <t>NÄSSJÖ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2930-2021</t>
        </is>
      </c>
      <c r="B2580" s="1" t="n">
        <v>44215</v>
      </c>
      <c r="C2580" s="1" t="n">
        <v>45828</v>
      </c>
      <c r="D2580" t="inlineStr">
        <is>
          <t>JÖNKÖPINGS LÄN</t>
        </is>
      </c>
      <c r="E2580" t="inlineStr">
        <is>
          <t>VETLANDA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2995-2021</t>
        </is>
      </c>
      <c r="B2581" s="1" t="n">
        <v>44216</v>
      </c>
      <c r="C2581" s="1" t="n">
        <v>45828</v>
      </c>
      <c r="D2581" t="inlineStr">
        <is>
          <t>JÖNKÖPINGS LÄN</t>
        </is>
      </c>
      <c r="E2581" t="inlineStr">
        <is>
          <t>VÄRNAMO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3033-2021</t>
        </is>
      </c>
      <c r="B2582" s="1" t="n">
        <v>44216</v>
      </c>
      <c r="C2582" s="1" t="n">
        <v>45828</v>
      </c>
      <c r="D2582" t="inlineStr">
        <is>
          <t>JÖNKÖPINGS LÄN</t>
        </is>
      </c>
      <c r="E2582" t="inlineStr">
        <is>
          <t>VÄRNAMO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3046-2021</t>
        </is>
      </c>
      <c r="B2583" s="1" t="n">
        <v>44216</v>
      </c>
      <c r="C2583" s="1" t="n">
        <v>45828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3361-2021</t>
        </is>
      </c>
      <c r="B2584" s="1" t="n">
        <v>44216</v>
      </c>
      <c r="C2584" s="1" t="n">
        <v>45828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3156-2021</t>
        </is>
      </c>
      <c r="B2585" s="1" t="n">
        <v>44217</v>
      </c>
      <c r="C2585" s="1" t="n">
        <v>45828</v>
      </c>
      <c r="D2585" t="inlineStr">
        <is>
          <t>JÖNKÖPINGS LÄN</t>
        </is>
      </c>
      <c r="E2585" t="inlineStr">
        <is>
          <t>SÄVSJÖ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3541-2021</t>
        </is>
      </c>
      <c r="B2586" s="1" t="n">
        <v>44218</v>
      </c>
      <c r="C2586" s="1" t="n">
        <v>45828</v>
      </c>
      <c r="D2586" t="inlineStr">
        <is>
          <t>JÖNKÖPINGS LÄN</t>
        </is>
      </c>
      <c r="E2586" t="inlineStr">
        <is>
          <t>VÄRNAMO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3374-2021</t>
        </is>
      </c>
      <c r="B2587" s="1" t="n">
        <v>44218</v>
      </c>
      <c r="C2587" s="1" t="n">
        <v>45828</v>
      </c>
      <c r="D2587" t="inlineStr">
        <is>
          <t>JÖNKÖPINGS LÄN</t>
        </is>
      </c>
      <c r="E2587" t="inlineStr">
        <is>
          <t>VETLANDA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3531-2021</t>
        </is>
      </c>
      <c r="B2588" s="1" t="n">
        <v>44218</v>
      </c>
      <c r="C2588" s="1" t="n">
        <v>45828</v>
      </c>
      <c r="D2588" t="inlineStr">
        <is>
          <t>JÖNKÖPINGS LÄN</t>
        </is>
      </c>
      <c r="E2588" t="inlineStr">
        <is>
          <t>VETLANDA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3545-2021</t>
        </is>
      </c>
      <c r="B2589" s="1" t="n">
        <v>44218</v>
      </c>
      <c r="C2589" s="1" t="n">
        <v>45828</v>
      </c>
      <c r="D2589" t="inlineStr">
        <is>
          <t>JÖNKÖPINGS LÄN</t>
        </is>
      </c>
      <c r="E2589" t="inlineStr">
        <is>
          <t>VÄRNAMO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3546-2021</t>
        </is>
      </c>
      <c r="B2590" s="1" t="n">
        <v>44218</v>
      </c>
      <c r="C2590" s="1" t="n">
        <v>45828</v>
      </c>
      <c r="D2590" t="inlineStr">
        <is>
          <t>JÖNKÖPINGS LÄN</t>
        </is>
      </c>
      <c r="E2590" t="inlineStr">
        <is>
          <t>VÄRNAMO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3544-2021</t>
        </is>
      </c>
      <c r="B2591" s="1" t="n">
        <v>44218</v>
      </c>
      <c r="C2591" s="1" t="n">
        <v>45828</v>
      </c>
      <c r="D2591" t="inlineStr">
        <is>
          <t>JÖNKÖPINGS LÄN</t>
        </is>
      </c>
      <c r="E2591" t="inlineStr">
        <is>
          <t>VÄRNAMO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3993-2021</t>
        </is>
      </c>
      <c r="B2592" s="1" t="n">
        <v>44218</v>
      </c>
      <c r="C2592" s="1" t="n">
        <v>45828</v>
      </c>
      <c r="D2592" t="inlineStr">
        <is>
          <t>JÖNKÖPINGS LÄN</t>
        </is>
      </c>
      <c r="E2592" t="inlineStr">
        <is>
          <t>VÄRNAMO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4186-2021</t>
        </is>
      </c>
      <c r="B2593" s="1" t="n">
        <v>44221</v>
      </c>
      <c r="C2593" s="1" t="n">
        <v>45828</v>
      </c>
      <c r="D2593" t="inlineStr">
        <is>
          <t>JÖNKÖPINGS LÄN</t>
        </is>
      </c>
      <c r="E2593" t="inlineStr">
        <is>
          <t>NÄSSJÖ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4101-2021</t>
        </is>
      </c>
      <c r="B2594" s="1" t="n">
        <v>44222</v>
      </c>
      <c r="C2594" s="1" t="n">
        <v>45828</v>
      </c>
      <c r="D2594" t="inlineStr">
        <is>
          <t>JÖNKÖPINGS LÄN</t>
        </is>
      </c>
      <c r="E2594" t="inlineStr">
        <is>
          <t>VÄRNAMO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4201-2021</t>
        </is>
      </c>
      <c r="B2595" s="1" t="n">
        <v>44223</v>
      </c>
      <c r="C2595" s="1" t="n">
        <v>45828</v>
      </c>
      <c r="D2595" t="inlineStr">
        <is>
          <t>JÖNKÖPINGS LÄN</t>
        </is>
      </c>
      <c r="E2595" t="inlineStr">
        <is>
          <t>VÄRNAMO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4261-2021</t>
        </is>
      </c>
      <c r="B2596" s="1" t="n">
        <v>44223</v>
      </c>
      <c r="C2596" s="1" t="n">
        <v>45828</v>
      </c>
      <c r="D2596" t="inlineStr">
        <is>
          <t>JÖNKÖPINGS LÄN</t>
        </is>
      </c>
      <c r="E2596" t="inlineStr">
        <is>
          <t>GNOSJÖ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4406-2021</t>
        </is>
      </c>
      <c r="B2597" s="1" t="n">
        <v>44223</v>
      </c>
      <c r="C2597" s="1" t="n">
        <v>45828</v>
      </c>
      <c r="D2597" t="inlineStr">
        <is>
          <t>JÖNKÖPINGS LÄN</t>
        </is>
      </c>
      <c r="E2597" t="inlineStr">
        <is>
          <t>EKSJÖ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4535-2021</t>
        </is>
      </c>
      <c r="B2598" s="1" t="n">
        <v>44224</v>
      </c>
      <c r="C2598" s="1" t="n">
        <v>45828</v>
      </c>
      <c r="D2598" t="inlineStr">
        <is>
          <t>JÖNKÖPINGS LÄN</t>
        </is>
      </c>
      <c r="E2598" t="inlineStr">
        <is>
          <t>GISLAVED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4530-2021</t>
        </is>
      </c>
      <c r="B2599" s="1" t="n">
        <v>44224</v>
      </c>
      <c r="C2599" s="1" t="n">
        <v>45828</v>
      </c>
      <c r="D2599" t="inlineStr">
        <is>
          <t>JÖNKÖPINGS LÄN</t>
        </is>
      </c>
      <c r="E2599" t="inlineStr">
        <is>
          <t>VÄRNAMO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4620-2021</t>
        </is>
      </c>
      <c r="B2600" s="1" t="n">
        <v>44224</v>
      </c>
      <c r="C2600" s="1" t="n">
        <v>45828</v>
      </c>
      <c r="D2600" t="inlineStr">
        <is>
          <t>JÖNKÖPINGS LÄN</t>
        </is>
      </c>
      <c r="E2600" t="inlineStr">
        <is>
          <t>VETLANDA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4675-2021</t>
        </is>
      </c>
      <c r="B2601" s="1" t="n">
        <v>44225</v>
      </c>
      <c r="C2601" s="1" t="n">
        <v>45828</v>
      </c>
      <c r="D2601" t="inlineStr">
        <is>
          <t>JÖNKÖPINGS LÄN</t>
        </is>
      </c>
      <c r="E2601" t="inlineStr">
        <is>
          <t>SÄVSJÖ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4688-2021</t>
        </is>
      </c>
      <c r="B2602" s="1" t="n">
        <v>44225</v>
      </c>
      <c r="C2602" s="1" t="n">
        <v>45828</v>
      </c>
      <c r="D2602" t="inlineStr">
        <is>
          <t>JÖNKÖPINGS LÄN</t>
        </is>
      </c>
      <c r="E2602" t="inlineStr">
        <is>
          <t>JÖNKÖPING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4683-2021</t>
        </is>
      </c>
      <c r="B2603" s="1" t="n">
        <v>44225</v>
      </c>
      <c r="C2603" s="1" t="n">
        <v>45828</v>
      </c>
      <c r="D2603" t="inlineStr">
        <is>
          <t>JÖNKÖPINGS LÄN</t>
        </is>
      </c>
      <c r="E2603" t="inlineStr">
        <is>
          <t>JÖNKÖPING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4733-2021</t>
        </is>
      </c>
      <c r="B2604" s="1" t="n">
        <v>44225</v>
      </c>
      <c r="C2604" s="1" t="n">
        <v>45828</v>
      </c>
      <c r="D2604" t="inlineStr">
        <is>
          <t>JÖNKÖPINGS LÄN</t>
        </is>
      </c>
      <c r="E2604" t="inlineStr">
        <is>
          <t>JÖNKÖPING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4833-2021</t>
        </is>
      </c>
      <c r="B2605" s="1" t="n">
        <v>44225</v>
      </c>
      <c r="C2605" s="1" t="n">
        <v>45828</v>
      </c>
      <c r="D2605" t="inlineStr">
        <is>
          <t>JÖNKÖPINGS LÄN</t>
        </is>
      </c>
      <c r="E2605" t="inlineStr">
        <is>
          <t>EKSJÖ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4835-2021</t>
        </is>
      </c>
      <c r="B2606" s="1" t="n">
        <v>44225</v>
      </c>
      <c r="C2606" s="1" t="n">
        <v>45828</v>
      </c>
      <c r="D2606" t="inlineStr">
        <is>
          <t>JÖNKÖPINGS LÄN</t>
        </is>
      </c>
      <c r="E2606" t="inlineStr">
        <is>
          <t>EKSJÖ</t>
        </is>
      </c>
      <c r="F2606" t="inlineStr">
        <is>
          <t>Övriga Aktiebolag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4782-2021</t>
        </is>
      </c>
      <c r="B2607" s="1" t="n">
        <v>44225</v>
      </c>
      <c r="C2607" s="1" t="n">
        <v>45828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4793-2021</t>
        </is>
      </c>
      <c r="B2608" s="1" t="n">
        <v>44225</v>
      </c>
      <c r="C2608" s="1" t="n">
        <v>45828</v>
      </c>
      <c r="D2608" t="inlineStr">
        <is>
          <t>JÖNKÖPINGS LÄN</t>
        </is>
      </c>
      <c r="E2608" t="inlineStr">
        <is>
          <t>VAGGERYD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5087-2021</t>
        </is>
      </c>
      <c r="B2609" s="1" t="n">
        <v>44225</v>
      </c>
      <c r="C2609" s="1" t="n">
        <v>45828</v>
      </c>
      <c r="D2609" t="inlineStr">
        <is>
          <t>JÖNKÖPINGS LÄN</t>
        </is>
      </c>
      <c r="E2609" t="inlineStr">
        <is>
          <t>GNOSJÖ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4994-2021</t>
        </is>
      </c>
      <c r="B2610" s="1" t="n">
        <v>44228</v>
      </c>
      <c r="C2610" s="1" t="n">
        <v>45828</v>
      </c>
      <c r="D2610" t="inlineStr">
        <is>
          <t>JÖNKÖPINGS LÄN</t>
        </is>
      </c>
      <c r="E2610" t="inlineStr">
        <is>
          <t>GISLAVED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5007-2021</t>
        </is>
      </c>
      <c r="B2611" s="1" t="n">
        <v>44228</v>
      </c>
      <c r="C2611" s="1" t="n">
        <v>45828</v>
      </c>
      <c r="D2611" t="inlineStr">
        <is>
          <t>JÖNKÖPINGS LÄN</t>
        </is>
      </c>
      <c r="E2611" t="inlineStr">
        <is>
          <t>GNOSJÖ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4997-2021</t>
        </is>
      </c>
      <c r="B2612" s="1" t="n">
        <v>44228</v>
      </c>
      <c r="C2612" s="1" t="n">
        <v>45828</v>
      </c>
      <c r="D2612" t="inlineStr">
        <is>
          <t>JÖNKÖPINGS LÄN</t>
        </is>
      </c>
      <c r="E2612" t="inlineStr">
        <is>
          <t>GISLAVED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4992-2021</t>
        </is>
      </c>
      <c r="B2613" s="1" t="n">
        <v>44228</v>
      </c>
      <c r="C2613" s="1" t="n">
        <v>45828</v>
      </c>
      <c r="D2613" t="inlineStr">
        <is>
          <t>JÖNKÖPINGS LÄN</t>
        </is>
      </c>
      <c r="E2613" t="inlineStr">
        <is>
          <t>GISLAVED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5075-2021</t>
        </is>
      </c>
      <c r="B2614" s="1" t="n">
        <v>44228</v>
      </c>
      <c r="C2614" s="1" t="n">
        <v>45828</v>
      </c>
      <c r="D2614" t="inlineStr">
        <is>
          <t>JÖNKÖPINGS LÄN</t>
        </is>
      </c>
      <c r="E2614" t="inlineStr">
        <is>
          <t>VETLANDA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5126-2021</t>
        </is>
      </c>
      <c r="B2615" s="1" t="n">
        <v>44228</v>
      </c>
      <c r="C2615" s="1" t="n">
        <v>45828</v>
      </c>
      <c r="D2615" t="inlineStr">
        <is>
          <t>JÖNKÖPINGS LÄN</t>
        </is>
      </c>
      <c r="E2615" t="inlineStr">
        <is>
          <t>ANEBY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4946-2021</t>
        </is>
      </c>
      <c r="B2616" s="1" t="n">
        <v>44228</v>
      </c>
      <c r="C2616" s="1" t="n">
        <v>45828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5067-2021</t>
        </is>
      </c>
      <c r="B2617" s="1" t="n">
        <v>44228</v>
      </c>
      <c r="C2617" s="1" t="n">
        <v>45828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5514-2021</t>
        </is>
      </c>
      <c r="B2618" s="1" t="n">
        <v>44228</v>
      </c>
      <c r="C2618" s="1" t="n">
        <v>45828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5327-2021</t>
        </is>
      </c>
      <c r="B2619" s="1" t="n">
        <v>44229</v>
      </c>
      <c r="C2619" s="1" t="n">
        <v>45828</v>
      </c>
      <c r="D2619" t="inlineStr">
        <is>
          <t>JÖNKÖPINGS LÄN</t>
        </is>
      </c>
      <c r="E2619" t="inlineStr">
        <is>
          <t>JÖNKÖPING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5360-2021</t>
        </is>
      </c>
      <c r="B2620" s="1" t="n">
        <v>44229</v>
      </c>
      <c r="C2620" s="1" t="n">
        <v>45828</v>
      </c>
      <c r="D2620" t="inlineStr">
        <is>
          <t>JÖNKÖPINGS LÄN</t>
        </is>
      </c>
      <c r="E2620" t="inlineStr">
        <is>
          <t>VÄRNAMO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5445-2021</t>
        </is>
      </c>
      <c r="B2621" s="1" t="n">
        <v>44229</v>
      </c>
      <c r="C2621" s="1" t="n">
        <v>45828</v>
      </c>
      <c r="D2621" t="inlineStr">
        <is>
          <t>JÖNKÖPINGS LÄN</t>
        </is>
      </c>
      <c r="E2621" t="inlineStr">
        <is>
          <t>NÄSSJÖ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5617-2021</t>
        </is>
      </c>
      <c r="B2622" s="1" t="n">
        <v>44230</v>
      </c>
      <c r="C2622" s="1" t="n">
        <v>45828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5737-2021</t>
        </is>
      </c>
      <c r="B2623" s="1" t="n">
        <v>44230</v>
      </c>
      <c r="C2623" s="1" t="n">
        <v>45828</v>
      </c>
      <c r="D2623" t="inlineStr">
        <is>
          <t>JÖNKÖPINGS LÄN</t>
        </is>
      </c>
      <c r="E2623" t="inlineStr">
        <is>
          <t>GNOSJÖ</t>
        </is>
      </c>
      <c r="G2623" t="n">
        <v>14.9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5612-2021</t>
        </is>
      </c>
      <c r="B2624" s="1" t="n">
        <v>44230</v>
      </c>
      <c r="C2624" s="1" t="n">
        <v>45828</v>
      </c>
      <c r="D2624" t="inlineStr">
        <is>
          <t>JÖNKÖPINGS LÄN</t>
        </is>
      </c>
      <c r="E2624" t="inlineStr">
        <is>
          <t>GNOSJÖ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5505-2021</t>
        </is>
      </c>
      <c r="B2625" s="1" t="n">
        <v>44230</v>
      </c>
      <c r="C2625" s="1" t="n">
        <v>45828</v>
      </c>
      <c r="D2625" t="inlineStr">
        <is>
          <t>JÖNKÖPINGS LÄN</t>
        </is>
      </c>
      <c r="E2625" t="inlineStr">
        <is>
          <t>EKSJÖ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5817-2021</t>
        </is>
      </c>
      <c r="B2626" s="1" t="n">
        <v>44231</v>
      </c>
      <c r="C2626" s="1" t="n">
        <v>45828</v>
      </c>
      <c r="D2626" t="inlineStr">
        <is>
          <t>JÖNKÖPINGS LÄN</t>
        </is>
      </c>
      <c r="E2626" t="inlineStr">
        <is>
          <t>JÖNKÖPING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5807-2021</t>
        </is>
      </c>
      <c r="B2627" s="1" t="n">
        <v>44231</v>
      </c>
      <c r="C2627" s="1" t="n">
        <v>45828</v>
      </c>
      <c r="D2627" t="inlineStr">
        <is>
          <t>JÖNKÖPINGS LÄN</t>
        </is>
      </c>
      <c r="E2627" t="inlineStr">
        <is>
          <t>NÄSSJÖ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6075-2021</t>
        </is>
      </c>
      <c r="B2628" s="1" t="n">
        <v>44232</v>
      </c>
      <c r="C2628" s="1" t="n">
        <v>45828</v>
      </c>
      <c r="D2628" t="inlineStr">
        <is>
          <t>JÖNKÖPINGS LÄN</t>
        </is>
      </c>
      <c r="E2628" t="inlineStr">
        <is>
          <t>GISLAVED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6189-2021</t>
        </is>
      </c>
      <c r="B2629" s="1" t="n">
        <v>44234</v>
      </c>
      <c r="C2629" s="1" t="n">
        <v>45828</v>
      </c>
      <c r="D2629" t="inlineStr">
        <is>
          <t>JÖNKÖPINGS LÄN</t>
        </is>
      </c>
      <c r="E2629" t="inlineStr">
        <is>
          <t>NÄSSJÖ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6383-2021</t>
        </is>
      </c>
      <c r="B2630" s="1" t="n">
        <v>44235</v>
      </c>
      <c r="C2630" s="1" t="n">
        <v>45828</v>
      </c>
      <c r="D2630" t="inlineStr">
        <is>
          <t>JÖNKÖPINGS LÄN</t>
        </is>
      </c>
      <c r="E2630" t="inlineStr">
        <is>
          <t>GNOSJÖ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6458-2021</t>
        </is>
      </c>
      <c r="B2631" s="1" t="n">
        <v>44235</v>
      </c>
      <c r="C2631" s="1" t="n">
        <v>45828</v>
      </c>
      <c r="D2631" t="inlineStr">
        <is>
          <t>JÖNKÖPINGS LÄN</t>
        </is>
      </c>
      <c r="E2631" t="inlineStr">
        <is>
          <t>NÄSSJÖ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6250-2021</t>
        </is>
      </c>
      <c r="B2632" s="1" t="n">
        <v>44235</v>
      </c>
      <c r="C2632" s="1" t="n">
        <v>45828</v>
      </c>
      <c r="D2632" t="inlineStr">
        <is>
          <t>JÖNKÖPINGS LÄN</t>
        </is>
      </c>
      <c r="E2632" t="inlineStr">
        <is>
          <t>GISLAVED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6446-2021</t>
        </is>
      </c>
      <c r="B2633" s="1" t="n">
        <v>44235</v>
      </c>
      <c r="C2633" s="1" t="n">
        <v>45828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6455-2021</t>
        </is>
      </c>
      <c r="B2634" s="1" t="n">
        <v>44235</v>
      </c>
      <c r="C2634" s="1" t="n">
        <v>45828</v>
      </c>
      <c r="D2634" t="inlineStr">
        <is>
          <t>JÖNKÖPINGS LÄN</t>
        </is>
      </c>
      <c r="E2634" t="inlineStr">
        <is>
          <t>EKSJÖ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6239-2021</t>
        </is>
      </c>
      <c r="B2635" s="1" t="n">
        <v>44235</v>
      </c>
      <c r="C2635" s="1" t="n">
        <v>45828</v>
      </c>
      <c r="D2635" t="inlineStr">
        <is>
          <t>JÖNKÖPINGS LÄN</t>
        </is>
      </c>
      <c r="E2635" t="inlineStr">
        <is>
          <t>VETLANDA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6321-2021</t>
        </is>
      </c>
      <c r="B2636" s="1" t="n">
        <v>44235</v>
      </c>
      <c r="C2636" s="1" t="n">
        <v>45828</v>
      </c>
      <c r="D2636" t="inlineStr">
        <is>
          <t>JÖNKÖPINGS LÄN</t>
        </is>
      </c>
      <c r="E2636" t="inlineStr">
        <is>
          <t>VETLANDA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6406-2021</t>
        </is>
      </c>
      <c r="B2637" s="1" t="n">
        <v>44235</v>
      </c>
      <c r="C2637" s="1" t="n">
        <v>45828</v>
      </c>
      <c r="D2637" t="inlineStr">
        <is>
          <t>JÖNKÖPINGS LÄN</t>
        </is>
      </c>
      <c r="E2637" t="inlineStr">
        <is>
          <t>EKSJÖ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6409-2021</t>
        </is>
      </c>
      <c r="B2638" s="1" t="n">
        <v>44235</v>
      </c>
      <c r="C2638" s="1" t="n">
        <v>45828</v>
      </c>
      <c r="D2638" t="inlineStr">
        <is>
          <t>JÖNKÖPINGS LÄN</t>
        </is>
      </c>
      <c r="E2638" t="inlineStr">
        <is>
          <t>EKSJÖ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6445-2021</t>
        </is>
      </c>
      <c r="B2639" s="1" t="n">
        <v>44235</v>
      </c>
      <c r="C2639" s="1" t="n">
        <v>45828</v>
      </c>
      <c r="D2639" t="inlineStr">
        <is>
          <t>JÖNKÖPINGS LÄN</t>
        </is>
      </c>
      <c r="E2639" t="inlineStr">
        <is>
          <t>VÄRNAMO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6502-2021</t>
        </is>
      </c>
      <c r="B2640" s="1" t="n">
        <v>44236</v>
      </c>
      <c r="C2640" s="1" t="n">
        <v>45828</v>
      </c>
      <c r="D2640" t="inlineStr">
        <is>
          <t>JÖNKÖPINGS LÄN</t>
        </is>
      </c>
      <c r="E2640" t="inlineStr">
        <is>
          <t>VETLANDA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6629-2021</t>
        </is>
      </c>
      <c r="B2641" s="1" t="n">
        <v>44236</v>
      </c>
      <c r="C2641" s="1" t="n">
        <v>45828</v>
      </c>
      <c r="D2641" t="inlineStr">
        <is>
          <t>JÖNKÖPINGS LÄN</t>
        </is>
      </c>
      <c r="E2641" t="inlineStr">
        <is>
          <t>GISLAVED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6537-2021</t>
        </is>
      </c>
      <c r="B2642" s="1" t="n">
        <v>44236</v>
      </c>
      <c r="C2642" s="1" t="n">
        <v>45828</v>
      </c>
      <c r="D2642" t="inlineStr">
        <is>
          <t>JÖNKÖPINGS LÄN</t>
        </is>
      </c>
      <c r="E2642" t="inlineStr">
        <is>
          <t>GISLAVED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6554-2021</t>
        </is>
      </c>
      <c r="B2643" s="1" t="n">
        <v>44236</v>
      </c>
      <c r="C2643" s="1" t="n">
        <v>45828</v>
      </c>
      <c r="D2643" t="inlineStr">
        <is>
          <t>JÖNKÖPINGS LÄN</t>
        </is>
      </c>
      <c r="E2643" t="inlineStr">
        <is>
          <t>SÄVSJÖ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6584-2021</t>
        </is>
      </c>
      <c r="B2644" s="1" t="n">
        <v>44236</v>
      </c>
      <c r="C2644" s="1" t="n">
        <v>45828</v>
      </c>
      <c r="D2644" t="inlineStr">
        <is>
          <t>JÖNKÖPINGS LÄN</t>
        </is>
      </c>
      <c r="E2644" t="inlineStr">
        <is>
          <t>GNOSJÖ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6630-2021</t>
        </is>
      </c>
      <c r="B2645" s="1" t="n">
        <v>44236</v>
      </c>
      <c r="C2645" s="1" t="n">
        <v>45828</v>
      </c>
      <c r="D2645" t="inlineStr">
        <is>
          <t>JÖNKÖPINGS LÄN</t>
        </is>
      </c>
      <c r="E2645" t="inlineStr">
        <is>
          <t>GISLAVED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6692-2021</t>
        </is>
      </c>
      <c r="B2646" s="1" t="n">
        <v>44236</v>
      </c>
      <c r="C2646" s="1" t="n">
        <v>45828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6876-2021</t>
        </is>
      </c>
      <c r="B2647" s="1" t="n">
        <v>44237</v>
      </c>
      <c r="C2647" s="1" t="n">
        <v>45828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6851-2021</t>
        </is>
      </c>
      <c r="B2648" s="1" t="n">
        <v>44237</v>
      </c>
      <c r="C2648" s="1" t="n">
        <v>45828</v>
      </c>
      <c r="D2648" t="inlineStr">
        <is>
          <t>JÖNKÖPINGS LÄN</t>
        </is>
      </c>
      <c r="E2648" t="inlineStr">
        <is>
          <t>EKSJÖ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6863-2021</t>
        </is>
      </c>
      <c r="B2649" s="1" t="n">
        <v>44237</v>
      </c>
      <c r="C2649" s="1" t="n">
        <v>45828</v>
      </c>
      <c r="D2649" t="inlineStr">
        <is>
          <t>JÖNKÖPINGS LÄN</t>
        </is>
      </c>
      <c r="E2649" t="inlineStr">
        <is>
          <t>GISLAVED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6956-2021</t>
        </is>
      </c>
      <c r="B2650" s="1" t="n">
        <v>44237</v>
      </c>
      <c r="C2650" s="1" t="n">
        <v>45828</v>
      </c>
      <c r="D2650" t="inlineStr">
        <is>
          <t>JÖNKÖPINGS LÄN</t>
        </is>
      </c>
      <c r="E2650" t="inlineStr">
        <is>
          <t>TRANÅS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6963-2021</t>
        </is>
      </c>
      <c r="B2651" s="1" t="n">
        <v>44237</v>
      </c>
      <c r="C2651" s="1" t="n">
        <v>45828</v>
      </c>
      <c r="D2651" t="inlineStr">
        <is>
          <t>JÖNKÖPINGS LÄN</t>
        </is>
      </c>
      <c r="E2651" t="inlineStr">
        <is>
          <t>GISLAVED</t>
        </is>
      </c>
      <c r="G2651" t="n">
        <v>15.6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6980-2021</t>
        </is>
      </c>
      <c r="B2652" s="1" t="n">
        <v>44237</v>
      </c>
      <c r="C2652" s="1" t="n">
        <v>45828</v>
      </c>
      <c r="D2652" t="inlineStr">
        <is>
          <t>JÖNKÖPINGS LÄN</t>
        </is>
      </c>
      <c r="E2652" t="inlineStr">
        <is>
          <t>MULLSJÖ</t>
        </is>
      </c>
      <c r="G2652" t="n">
        <v>6.4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7069-2021</t>
        </is>
      </c>
      <c r="B2653" s="1" t="n">
        <v>44237</v>
      </c>
      <c r="C2653" s="1" t="n">
        <v>45828</v>
      </c>
      <c r="D2653" t="inlineStr">
        <is>
          <t>JÖNKÖPINGS LÄN</t>
        </is>
      </c>
      <c r="E2653" t="inlineStr">
        <is>
          <t>HABO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6976-2021</t>
        </is>
      </c>
      <c r="B2654" s="1" t="n">
        <v>44237</v>
      </c>
      <c r="C2654" s="1" t="n">
        <v>45828</v>
      </c>
      <c r="D2654" t="inlineStr">
        <is>
          <t>JÖNKÖPINGS LÄN</t>
        </is>
      </c>
      <c r="E2654" t="inlineStr">
        <is>
          <t>EKSJÖ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7070-2021</t>
        </is>
      </c>
      <c r="B2655" s="1" t="n">
        <v>44237</v>
      </c>
      <c r="C2655" s="1" t="n">
        <v>45828</v>
      </c>
      <c r="D2655" t="inlineStr">
        <is>
          <t>JÖNKÖPINGS LÄN</t>
        </is>
      </c>
      <c r="E2655" t="inlineStr">
        <is>
          <t>HABO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7176-2021</t>
        </is>
      </c>
      <c r="B2656" s="1" t="n">
        <v>44238</v>
      </c>
      <c r="C2656" s="1" t="n">
        <v>45828</v>
      </c>
      <c r="D2656" t="inlineStr">
        <is>
          <t>JÖNKÖPINGS LÄN</t>
        </is>
      </c>
      <c r="E2656" t="inlineStr">
        <is>
          <t>MULLSJÖ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7174-2021</t>
        </is>
      </c>
      <c r="B2657" s="1" t="n">
        <v>44238</v>
      </c>
      <c r="C2657" s="1" t="n">
        <v>45828</v>
      </c>
      <c r="D2657" t="inlineStr">
        <is>
          <t>JÖNKÖPINGS LÄN</t>
        </is>
      </c>
      <c r="E2657" t="inlineStr">
        <is>
          <t>MULLSJÖ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7341-2021</t>
        </is>
      </c>
      <c r="B2658" s="1" t="n">
        <v>44239</v>
      </c>
      <c r="C2658" s="1" t="n">
        <v>45828</v>
      </c>
      <c r="D2658" t="inlineStr">
        <is>
          <t>JÖNKÖPINGS LÄN</t>
        </is>
      </c>
      <c r="E2658" t="inlineStr">
        <is>
          <t>JÖNKÖPING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7370-2021</t>
        </is>
      </c>
      <c r="B2659" s="1" t="n">
        <v>44239</v>
      </c>
      <c r="C2659" s="1" t="n">
        <v>45828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7376-2021</t>
        </is>
      </c>
      <c r="B2660" s="1" t="n">
        <v>44239</v>
      </c>
      <c r="C2660" s="1" t="n">
        <v>45828</v>
      </c>
      <c r="D2660" t="inlineStr">
        <is>
          <t>JÖNKÖPINGS LÄN</t>
        </is>
      </c>
      <c r="E2660" t="inlineStr">
        <is>
          <t>TRANÅS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7499-2021</t>
        </is>
      </c>
      <c r="B2661" s="1" t="n">
        <v>44239</v>
      </c>
      <c r="C2661" s="1" t="n">
        <v>45828</v>
      </c>
      <c r="D2661" t="inlineStr">
        <is>
          <t>JÖNKÖPINGS LÄN</t>
        </is>
      </c>
      <c r="E2661" t="inlineStr">
        <is>
          <t>EKSJÖ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7531-2021</t>
        </is>
      </c>
      <c r="B2662" s="1" t="n">
        <v>44239</v>
      </c>
      <c r="C2662" s="1" t="n">
        <v>45828</v>
      </c>
      <c r="D2662" t="inlineStr">
        <is>
          <t>JÖNKÖPINGS LÄN</t>
        </is>
      </c>
      <c r="E2662" t="inlineStr">
        <is>
          <t>VÄRNAMO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7362-2021</t>
        </is>
      </c>
      <c r="B2663" s="1" t="n">
        <v>44239</v>
      </c>
      <c r="C2663" s="1" t="n">
        <v>45828</v>
      </c>
      <c r="D2663" t="inlineStr">
        <is>
          <t>JÖNKÖPINGS LÄN</t>
        </is>
      </c>
      <c r="E2663" t="inlineStr">
        <is>
          <t>EKSJÖ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7452-2021</t>
        </is>
      </c>
      <c r="B2664" s="1" t="n">
        <v>44239</v>
      </c>
      <c r="C2664" s="1" t="n">
        <v>45828</v>
      </c>
      <c r="D2664" t="inlineStr">
        <is>
          <t>JÖNKÖPINGS LÄN</t>
        </is>
      </c>
      <c r="E2664" t="inlineStr">
        <is>
          <t>JÖNKÖPING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7338-2021</t>
        </is>
      </c>
      <c r="B2665" s="1" t="n">
        <v>44239</v>
      </c>
      <c r="C2665" s="1" t="n">
        <v>45828</v>
      </c>
      <c r="D2665" t="inlineStr">
        <is>
          <t>JÖNKÖPINGS LÄN</t>
        </is>
      </c>
      <c r="E2665" t="inlineStr">
        <is>
          <t>JÖNKÖPING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7374-2021</t>
        </is>
      </c>
      <c r="B2666" s="1" t="n">
        <v>44239</v>
      </c>
      <c r="C2666" s="1" t="n">
        <v>45828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7453-2021</t>
        </is>
      </c>
      <c r="B2667" s="1" t="n">
        <v>44239</v>
      </c>
      <c r="C2667" s="1" t="n">
        <v>45828</v>
      </c>
      <c r="D2667" t="inlineStr">
        <is>
          <t>JÖNKÖPINGS LÄN</t>
        </is>
      </c>
      <c r="E2667" t="inlineStr">
        <is>
          <t>EKSJÖ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7329-2021</t>
        </is>
      </c>
      <c r="B2668" s="1" t="n">
        <v>44239</v>
      </c>
      <c r="C2668" s="1" t="n">
        <v>45828</v>
      </c>
      <c r="D2668" t="inlineStr">
        <is>
          <t>JÖNKÖPINGS LÄN</t>
        </is>
      </c>
      <c r="E2668" t="inlineStr">
        <is>
          <t>JÖNKÖPING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7361-2021</t>
        </is>
      </c>
      <c r="B2669" s="1" t="n">
        <v>44239</v>
      </c>
      <c r="C2669" s="1" t="n">
        <v>45828</v>
      </c>
      <c r="D2669" t="inlineStr">
        <is>
          <t>JÖNKÖPINGS LÄN</t>
        </is>
      </c>
      <c r="E2669" t="inlineStr">
        <is>
          <t>GISLAVED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7371-2021</t>
        </is>
      </c>
      <c r="B2670" s="1" t="n">
        <v>44239</v>
      </c>
      <c r="C2670" s="1" t="n">
        <v>45828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7510-2021</t>
        </is>
      </c>
      <c r="B2671" s="1" t="n">
        <v>44239</v>
      </c>
      <c r="C2671" s="1" t="n">
        <v>45828</v>
      </c>
      <c r="D2671" t="inlineStr">
        <is>
          <t>JÖNKÖPINGS LÄN</t>
        </is>
      </c>
      <c r="E2671" t="inlineStr">
        <is>
          <t>NÄSSJÖ</t>
        </is>
      </c>
      <c r="G2671" t="n">
        <v>4.1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7514-2021</t>
        </is>
      </c>
      <c r="B2672" s="1" t="n">
        <v>44239</v>
      </c>
      <c r="C2672" s="1" t="n">
        <v>45828</v>
      </c>
      <c r="D2672" t="inlineStr">
        <is>
          <t>JÖNKÖPINGS LÄN</t>
        </is>
      </c>
      <c r="E2672" t="inlineStr">
        <is>
          <t>NÄSSJÖ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7613-2021</t>
        </is>
      </c>
      <c r="B2673" s="1" t="n">
        <v>44239</v>
      </c>
      <c r="C2673" s="1" t="n">
        <v>45828</v>
      </c>
      <c r="D2673" t="inlineStr">
        <is>
          <t>JÖNKÖPINGS LÄN</t>
        </is>
      </c>
      <c r="E2673" t="inlineStr">
        <is>
          <t>VÄRNAMO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7674-2021</t>
        </is>
      </c>
      <c r="B2674" s="1" t="n">
        <v>44239</v>
      </c>
      <c r="C2674" s="1" t="n">
        <v>45828</v>
      </c>
      <c r="D2674" t="inlineStr">
        <is>
          <t>JÖNKÖPINGS LÄN</t>
        </is>
      </c>
      <c r="E2674" t="inlineStr">
        <is>
          <t>VETLANDA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7737-2021</t>
        </is>
      </c>
      <c r="B2675" s="1" t="n">
        <v>44242</v>
      </c>
      <c r="C2675" s="1" t="n">
        <v>45828</v>
      </c>
      <c r="D2675" t="inlineStr">
        <is>
          <t>JÖNKÖPINGS LÄN</t>
        </is>
      </c>
      <c r="E2675" t="inlineStr">
        <is>
          <t>GISLAVED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7852-2021</t>
        </is>
      </c>
      <c r="B2676" s="1" t="n">
        <v>44242</v>
      </c>
      <c r="C2676" s="1" t="n">
        <v>45828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7860-2021</t>
        </is>
      </c>
      <c r="B2677" s="1" t="n">
        <v>44242</v>
      </c>
      <c r="C2677" s="1" t="n">
        <v>45828</v>
      </c>
      <c r="D2677" t="inlineStr">
        <is>
          <t>JÖNKÖPINGS LÄN</t>
        </is>
      </c>
      <c r="E2677" t="inlineStr">
        <is>
          <t>VETLANDA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7870-2021</t>
        </is>
      </c>
      <c r="B2678" s="1" t="n">
        <v>44242</v>
      </c>
      <c r="C2678" s="1" t="n">
        <v>45828</v>
      </c>
      <c r="D2678" t="inlineStr">
        <is>
          <t>JÖNKÖPINGS LÄN</t>
        </is>
      </c>
      <c r="E2678" t="inlineStr">
        <is>
          <t>VETLANDA</t>
        </is>
      </c>
      <c r="G2678" t="n">
        <v>6.5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7919-2021</t>
        </is>
      </c>
      <c r="B2679" s="1" t="n">
        <v>44242</v>
      </c>
      <c r="C2679" s="1" t="n">
        <v>45828</v>
      </c>
      <c r="D2679" t="inlineStr">
        <is>
          <t>JÖNKÖPINGS LÄN</t>
        </is>
      </c>
      <c r="E2679" t="inlineStr">
        <is>
          <t>ANEBY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7924-2021</t>
        </is>
      </c>
      <c r="B2680" s="1" t="n">
        <v>44243</v>
      </c>
      <c r="C2680" s="1" t="n">
        <v>45828</v>
      </c>
      <c r="D2680" t="inlineStr">
        <is>
          <t>JÖNKÖPINGS LÄN</t>
        </is>
      </c>
      <c r="E2680" t="inlineStr">
        <is>
          <t>GISLAVED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7957-2021</t>
        </is>
      </c>
      <c r="B2681" s="1" t="n">
        <v>44243</v>
      </c>
      <c r="C2681" s="1" t="n">
        <v>45828</v>
      </c>
      <c r="D2681" t="inlineStr">
        <is>
          <t>JÖNKÖPINGS LÄN</t>
        </is>
      </c>
      <c r="E2681" t="inlineStr">
        <is>
          <t>VAGGERYD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8092-2021</t>
        </is>
      </c>
      <c r="B2682" s="1" t="n">
        <v>44243</v>
      </c>
      <c r="C2682" s="1" t="n">
        <v>45828</v>
      </c>
      <c r="D2682" t="inlineStr">
        <is>
          <t>JÖNKÖPINGS LÄN</t>
        </is>
      </c>
      <c r="E2682" t="inlineStr">
        <is>
          <t>GISLAVED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8087-2021</t>
        </is>
      </c>
      <c r="B2683" s="1" t="n">
        <v>44243</v>
      </c>
      <c r="C2683" s="1" t="n">
        <v>45828</v>
      </c>
      <c r="D2683" t="inlineStr">
        <is>
          <t>JÖNKÖPINGS LÄN</t>
        </is>
      </c>
      <c r="E2683" t="inlineStr">
        <is>
          <t>GISLAVED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8098-2021</t>
        </is>
      </c>
      <c r="B2684" s="1" t="n">
        <v>44243</v>
      </c>
      <c r="C2684" s="1" t="n">
        <v>45828</v>
      </c>
      <c r="D2684" t="inlineStr">
        <is>
          <t>JÖNKÖPINGS LÄN</t>
        </is>
      </c>
      <c r="E2684" t="inlineStr">
        <is>
          <t>VETLANDA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7915-2021</t>
        </is>
      </c>
      <c r="B2685" s="1" t="n">
        <v>44243</v>
      </c>
      <c r="C2685" s="1" t="n">
        <v>45828</v>
      </c>
      <c r="D2685" t="inlineStr">
        <is>
          <t>JÖNKÖPINGS LÄN</t>
        </is>
      </c>
      <c r="E2685" t="inlineStr">
        <is>
          <t>SÄVSJÖ</t>
        </is>
      </c>
      <c r="F2685" t="inlineStr">
        <is>
          <t>Sveaskog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8216-2021</t>
        </is>
      </c>
      <c r="B2686" s="1" t="n">
        <v>44244</v>
      </c>
      <c r="C2686" s="1" t="n">
        <v>45828</v>
      </c>
      <c r="D2686" t="inlineStr">
        <is>
          <t>JÖNKÖPINGS LÄN</t>
        </is>
      </c>
      <c r="E2686" t="inlineStr">
        <is>
          <t>VÄRNAMO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8173-2021</t>
        </is>
      </c>
      <c r="B2687" s="1" t="n">
        <v>44244</v>
      </c>
      <c r="C2687" s="1" t="n">
        <v>45828</v>
      </c>
      <c r="D2687" t="inlineStr">
        <is>
          <t>JÖNKÖPINGS LÄN</t>
        </is>
      </c>
      <c r="E2687" t="inlineStr">
        <is>
          <t>GISLAVED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8556-2021</t>
        </is>
      </c>
      <c r="B2688" s="1" t="n">
        <v>44245</v>
      </c>
      <c r="C2688" s="1" t="n">
        <v>45828</v>
      </c>
      <c r="D2688" t="inlineStr">
        <is>
          <t>JÖNKÖPINGS LÄN</t>
        </is>
      </c>
      <c r="E2688" t="inlineStr">
        <is>
          <t>VETLANDA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8439-2021</t>
        </is>
      </c>
      <c r="B2689" s="1" t="n">
        <v>44245</v>
      </c>
      <c r="C2689" s="1" t="n">
        <v>45828</v>
      </c>
      <c r="D2689" t="inlineStr">
        <is>
          <t>JÖNKÖPINGS LÄN</t>
        </is>
      </c>
      <c r="E2689" t="inlineStr">
        <is>
          <t>SÄVSJÖ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8470-2021</t>
        </is>
      </c>
      <c r="B2690" s="1" t="n">
        <v>44245</v>
      </c>
      <c r="C2690" s="1" t="n">
        <v>45828</v>
      </c>
      <c r="D2690" t="inlineStr">
        <is>
          <t>JÖNKÖPINGS LÄN</t>
        </is>
      </c>
      <c r="E2690" t="inlineStr">
        <is>
          <t>GISLAVED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8602-2021</t>
        </is>
      </c>
      <c r="B2691" s="1" t="n">
        <v>44245</v>
      </c>
      <c r="C2691" s="1" t="n">
        <v>45828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8766-2021</t>
        </is>
      </c>
      <c r="B2692" s="1" t="n">
        <v>44245</v>
      </c>
      <c r="C2692" s="1" t="n">
        <v>45828</v>
      </c>
      <c r="D2692" t="inlineStr">
        <is>
          <t>JÖNKÖPINGS LÄN</t>
        </is>
      </c>
      <c r="E2692" t="inlineStr">
        <is>
          <t>NÄSSJÖ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8813-2021</t>
        </is>
      </c>
      <c r="B2693" s="1" t="n">
        <v>44246</v>
      </c>
      <c r="C2693" s="1" t="n">
        <v>45828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8838-2021</t>
        </is>
      </c>
      <c r="B2694" s="1" t="n">
        <v>44246</v>
      </c>
      <c r="C2694" s="1" t="n">
        <v>45828</v>
      </c>
      <c r="D2694" t="inlineStr">
        <is>
          <t>JÖNKÖPINGS LÄN</t>
        </is>
      </c>
      <c r="E2694" t="inlineStr">
        <is>
          <t>NÄSSJÖ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8675-2021</t>
        </is>
      </c>
      <c r="B2695" s="1" t="n">
        <v>44246</v>
      </c>
      <c r="C2695" s="1" t="n">
        <v>45828</v>
      </c>
      <c r="D2695" t="inlineStr">
        <is>
          <t>JÖNKÖPINGS LÄN</t>
        </is>
      </c>
      <c r="E2695" t="inlineStr">
        <is>
          <t>VÄRNAMO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8809-2021</t>
        </is>
      </c>
      <c r="B2696" s="1" t="n">
        <v>44246</v>
      </c>
      <c r="C2696" s="1" t="n">
        <v>45828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8673-2021</t>
        </is>
      </c>
      <c r="B2697" s="1" t="n">
        <v>44246</v>
      </c>
      <c r="C2697" s="1" t="n">
        <v>45828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8656-2021</t>
        </is>
      </c>
      <c r="B2698" s="1" t="n">
        <v>44246</v>
      </c>
      <c r="C2698" s="1" t="n">
        <v>45828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8669-2021</t>
        </is>
      </c>
      <c r="B2699" s="1" t="n">
        <v>44246</v>
      </c>
      <c r="C2699" s="1" t="n">
        <v>45828</v>
      </c>
      <c r="D2699" t="inlineStr">
        <is>
          <t>JÖNKÖPINGS LÄN</t>
        </is>
      </c>
      <c r="E2699" t="inlineStr">
        <is>
          <t>NÄSSJÖ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8677-2021</t>
        </is>
      </c>
      <c r="B2700" s="1" t="n">
        <v>44246</v>
      </c>
      <c r="C2700" s="1" t="n">
        <v>45828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9013-2021</t>
        </is>
      </c>
      <c r="B2701" s="1" t="n">
        <v>44246</v>
      </c>
      <c r="C2701" s="1" t="n">
        <v>45828</v>
      </c>
      <c r="D2701" t="inlineStr">
        <is>
          <t>JÖNKÖPINGS LÄN</t>
        </is>
      </c>
      <c r="E2701" t="inlineStr">
        <is>
          <t>GISLAVED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8658-2021</t>
        </is>
      </c>
      <c r="B2702" s="1" t="n">
        <v>44246</v>
      </c>
      <c r="C2702" s="1" t="n">
        <v>45828</v>
      </c>
      <c r="D2702" t="inlineStr">
        <is>
          <t>JÖNKÖPINGS LÄN</t>
        </is>
      </c>
      <c r="E2702" t="inlineStr">
        <is>
          <t>VETLANDA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8872-2021</t>
        </is>
      </c>
      <c r="B2703" s="1" t="n">
        <v>44247</v>
      </c>
      <c r="C2703" s="1" t="n">
        <v>45828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9058-2021</t>
        </is>
      </c>
      <c r="B2704" s="1" t="n">
        <v>44249</v>
      </c>
      <c r="C2704" s="1" t="n">
        <v>45828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8978-2021</t>
        </is>
      </c>
      <c r="B2705" s="1" t="n">
        <v>44249</v>
      </c>
      <c r="C2705" s="1" t="n">
        <v>45828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9020-2021</t>
        </is>
      </c>
      <c r="B2706" s="1" t="n">
        <v>44249</v>
      </c>
      <c r="C2706" s="1" t="n">
        <v>45828</v>
      </c>
      <c r="D2706" t="inlineStr">
        <is>
          <t>JÖNKÖPINGS LÄN</t>
        </is>
      </c>
      <c r="E2706" t="inlineStr">
        <is>
          <t>VÄRNAMO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9110-2021</t>
        </is>
      </c>
      <c r="B2707" s="1" t="n">
        <v>44249</v>
      </c>
      <c r="C2707" s="1" t="n">
        <v>45828</v>
      </c>
      <c r="D2707" t="inlineStr">
        <is>
          <t>JÖNKÖPINGS LÄN</t>
        </is>
      </c>
      <c r="E2707" t="inlineStr">
        <is>
          <t>JÖNKÖPING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9163-2021</t>
        </is>
      </c>
      <c r="B2708" s="1" t="n">
        <v>44249</v>
      </c>
      <c r="C2708" s="1" t="n">
        <v>45828</v>
      </c>
      <c r="D2708" t="inlineStr">
        <is>
          <t>JÖNKÖPINGS LÄN</t>
        </is>
      </c>
      <c r="E2708" t="inlineStr">
        <is>
          <t>JÖNKÖPING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9197-2021</t>
        </is>
      </c>
      <c r="B2709" s="1" t="n">
        <v>44249</v>
      </c>
      <c r="C2709" s="1" t="n">
        <v>45828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Övriga statliga verk och myndigheter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9240-2021</t>
        </is>
      </c>
      <c r="B2710" s="1" t="n">
        <v>44250</v>
      </c>
      <c r="C2710" s="1" t="n">
        <v>45828</v>
      </c>
      <c r="D2710" t="inlineStr">
        <is>
          <t>JÖNKÖPINGS LÄN</t>
        </is>
      </c>
      <c r="E2710" t="inlineStr">
        <is>
          <t>TRANÅS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9304-2021</t>
        </is>
      </c>
      <c r="B2711" s="1" t="n">
        <v>44250</v>
      </c>
      <c r="C2711" s="1" t="n">
        <v>45828</v>
      </c>
      <c r="D2711" t="inlineStr">
        <is>
          <t>JÖNKÖPINGS LÄN</t>
        </is>
      </c>
      <c r="E2711" t="inlineStr">
        <is>
          <t>VETLANDA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9386-2021</t>
        </is>
      </c>
      <c r="B2712" s="1" t="n">
        <v>44250</v>
      </c>
      <c r="C2712" s="1" t="n">
        <v>45828</v>
      </c>
      <c r="D2712" t="inlineStr">
        <is>
          <t>JÖNKÖPINGS LÄN</t>
        </is>
      </c>
      <c r="E2712" t="inlineStr">
        <is>
          <t>VETLANDA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9409-2021</t>
        </is>
      </c>
      <c r="B2713" s="1" t="n">
        <v>44250</v>
      </c>
      <c r="C2713" s="1" t="n">
        <v>45828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9303-2021</t>
        </is>
      </c>
      <c r="B2714" s="1" t="n">
        <v>44250</v>
      </c>
      <c r="C2714" s="1" t="n">
        <v>45828</v>
      </c>
      <c r="D2714" t="inlineStr">
        <is>
          <t>JÖNKÖPINGS LÄN</t>
        </is>
      </c>
      <c r="E2714" t="inlineStr">
        <is>
          <t>TRANÅS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9359-2021</t>
        </is>
      </c>
      <c r="B2715" s="1" t="n">
        <v>44250</v>
      </c>
      <c r="C2715" s="1" t="n">
        <v>45828</v>
      </c>
      <c r="D2715" t="inlineStr">
        <is>
          <t>JÖNKÖPINGS LÄN</t>
        </is>
      </c>
      <c r="E2715" t="inlineStr">
        <is>
          <t>GISLAVED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9407-2021</t>
        </is>
      </c>
      <c r="B2716" s="1" t="n">
        <v>44250</v>
      </c>
      <c r="C2716" s="1" t="n">
        <v>45828</v>
      </c>
      <c r="D2716" t="inlineStr">
        <is>
          <t>JÖNKÖPINGS LÄN</t>
        </is>
      </c>
      <c r="E2716" t="inlineStr">
        <is>
          <t>GISLAVED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9592-2021</t>
        </is>
      </c>
      <c r="B2717" s="1" t="n">
        <v>44251</v>
      </c>
      <c r="C2717" s="1" t="n">
        <v>45828</v>
      </c>
      <c r="D2717" t="inlineStr">
        <is>
          <t>JÖNKÖPINGS LÄN</t>
        </is>
      </c>
      <c r="E2717" t="inlineStr">
        <is>
          <t>VETLANDA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9665-2021</t>
        </is>
      </c>
      <c r="B2718" s="1" t="n">
        <v>44252</v>
      </c>
      <c r="C2718" s="1" t="n">
        <v>45828</v>
      </c>
      <c r="D2718" t="inlineStr">
        <is>
          <t>JÖNKÖPINGS LÄN</t>
        </is>
      </c>
      <c r="E2718" t="inlineStr">
        <is>
          <t>VETLANDA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9708-2021</t>
        </is>
      </c>
      <c r="B2719" s="1" t="n">
        <v>44252</v>
      </c>
      <c r="C2719" s="1" t="n">
        <v>45828</v>
      </c>
      <c r="D2719" t="inlineStr">
        <is>
          <t>JÖNKÖPINGS LÄN</t>
        </is>
      </c>
      <c r="E2719" t="inlineStr">
        <is>
          <t>GNOSJÖ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9662-2021</t>
        </is>
      </c>
      <c r="B2720" s="1" t="n">
        <v>44252</v>
      </c>
      <c r="C2720" s="1" t="n">
        <v>45828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9699-2021</t>
        </is>
      </c>
      <c r="B2721" s="1" t="n">
        <v>44252</v>
      </c>
      <c r="C2721" s="1" t="n">
        <v>45828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9660-2021</t>
        </is>
      </c>
      <c r="B2722" s="1" t="n">
        <v>44252</v>
      </c>
      <c r="C2722" s="1" t="n">
        <v>45828</v>
      </c>
      <c r="D2722" t="inlineStr">
        <is>
          <t>JÖNKÖPINGS LÄN</t>
        </is>
      </c>
      <c r="E2722" t="inlineStr">
        <is>
          <t>VETLANDA</t>
        </is>
      </c>
      <c r="G2722" t="n">
        <v>7.4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9697-2021</t>
        </is>
      </c>
      <c r="B2723" s="1" t="n">
        <v>44252</v>
      </c>
      <c r="C2723" s="1" t="n">
        <v>45828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9817-2021</t>
        </is>
      </c>
      <c r="B2724" s="1" t="n">
        <v>44252</v>
      </c>
      <c r="C2724" s="1" t="n">
        <v>45828</v>
      </c>
      <c r="D2724" t="inlineStr">
        <is>
          <t>JÖNKÖPINGS LÄN</t>
        </is>
      </c>
      <c r="E2724" t="inlineStr">
        <is>
          <t>JÖNKÖPING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9820-2021</t>
        </is>
      </c>
      <c r="B2725" s="1" t="n">
        <v>44252</v>
      </c>
      <c r="C2725" s="1" t="n">
        <v>45828</v>
      </c>
      <c r="D2725" t="inlineStr">
        <is>
          <t>JÖNKÖPINGS LÄN</t>
        </is>
      </c>
      <c r="E2725" t="inlineStr">
        <is>
          <t>JÖNKÖPING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9875-2021</t>
        </is>
      </c>
      <c r="B2726" s="1" t="n">
        <v>44253</v>
      </c>
      <c r="C2726" s="1" t="n">
        <v>45828</v>
      </c>
      <c r="D2726" t="inlineStr">
        <is>
          <t>JÖNKÖPINGS LÄN</t>
        </is>
      </c>
      <c r="E2726" t="inlineStr">
        <is>
          <t>VAGGERYD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10326-2021</t>
        </is>
      </c>
      <c r="B2727" s="1" t="n">
        <v>44257</v>
      </c>
      <c r="C2727" s="1" t="n">
        <v>45828</v>
      </c>
      <c r="D2727" t="inlineStr">
        <is>
          <t>JÖNKÖPINGS LÄN</t>
        </is>
      </c>
      <c r="E2727" t="inlineStr">
        <is>
          <t>EKSJÖ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10344-2021</t>
        </is>
      </c>
      <c r="B2728" s="1" t="n">
        <v>44257</v>
      </c>
      <c r="C2728" s="1" t="n">
        <v>45828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10360-2021</t>
        </is>
      </c>
      <c r="B2729" s="1" t="n">
        <v>44257</v>
      </c>
      <c r="C2729" s="1" t="n">
        <v>45828</v>
      </c>
      <c r="D2729" t="inlineStr">
        <is>
          <t>JÖNKÖPINGS LÄN</t>
        </is>
      </c>
      <c r="E2729" t="inlineStr">
        <is>
          <t>ANEBY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10430-2021</t>
        </is>
      </c>
      <c r="B2730" s="1" t="n">
        <v>44257</v>
      </c>
      <c r="C2730" s="1" t="n">
        <v>45828</v>
      </c>
      <c r="D2730" t="inlineStr">
        <is>
          <t>JÖNKÖPINGS LÄN</t>
        </is>
      </c>
      <c r="E2730" t="inlineStr">
        <is>
          <t>VÄRNAMO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10584-2021</t>
        </is>
      </c>
      <c r="B2731" s="1" t="n">
        <v>44258</v>
      </c>
      <c r="C2731" s="1" t="n">
        <v>45828</v>
      </c>
      <c r="D2731" t="inlineStr">
        <is>
          <t>JÖNKÖPINGS LÄN</t>
        </is>
      </c>
      <c r="E2731" t="inlineStr">
        <is>
          <t>VÄRNAMO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10802-2021</t>
        </is>
      </c>
      <c r="B2732" s="1" t="n">
        <v>44258</v>
      </c>
      <c r="C2732" s="1" t="n">
        <v>45828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10741-2021</t>
        </is>
      </c>
      <c r="B2733" s="1" t="n">
        <v>44259</v>
      </c>
      <c r="C2733" s="1" t="n">
        <v>45828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10869-2021</t>
        </is>
      </c>
      <c r="B2734" s="1" t="n">
        <v>44259</v>
      </c>
      <c r="C2734" s="1" t="n">
        <v>45828</v>
      </c>
      <c r="D2734" t="inlineStr">
        <is>
          <t>JÖNKÖPINGS LÄN</t>
        </is>
      </c>
      <c r="E2734" t="inlineStr">
        <is>
          <t>JÖNKÖPING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10874-2021</t>
        </is>
      </c>
      <c r="B2735" s="1" t="n">
        <v>44259</v>
      </c>
      <c r="C2735" s="1" t="n">
        <v>45828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10964-2021</t>
        </is>
      </c>
      <c r="B2736" s="1" t="n">
        <v>44260</v>
      </c>
      <c r="C2736" s="1" t="n">
        <v>45828</v>
      </c>
      <c r="D2736" t="inlineStr">
        <is>
          <t>JÖNKÖPINGS LÄN</t>
        </is>
      </c>
      <c r="E2736" t="inlineStr">
        <is>
          <t>HABO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10978-2021</t>
        </is>
      </c>
      <c r="B2737" s="1" t="n">
        <v>44260</v>
      </c>
      <c r="C2737" s="1" t="n">
        <v>45828</v>
      </c>
      <c r="D2737" t="inlineStr">
        <is>
          <t>JÖNKÖPINGS LÄN</t>
        </is>
      </c>
      <c r="E2737" t="inlineStr">
        <is>
          <t>NÄSSJÖ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11121-2021</t>
        </is>
      </c>
      <c r="B2738" s="1" t="n">
        <v>44260</v>
      </c>
      <c r="C2738" s="1" t="n">
        <v>45828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11075-2021</t>
        </is>
      </c>
      <c r="B2739" s="1" t="n">
        <v>44260</v>
      </c>
      <c r="C2739" s="1" t="n">
        <v>45828</v>
      </c>
      <c r="D2739" t="inlineStr">
        <is>
          <t>JÖNKÖPINGS LÄN</t>
        </is>
      </c>
      <c r="E2739" t="inlineStr">
        <is>
          <t>MULLSJÖ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11094-2021</t>
        </is>
      </c>
      <c r="B2740" s="1" t="n">
        <v>44260</v>
      </c>
      <c r="C2740" s="1" t="n">
        <v>45828</v>
      </c>
      <c r="D2740" t="inlineStr">
        <is>
          <t>JÖNKÖPINGS LÄN</t>
        </is>
      </c>
      <c r="E2740" t="inlineStr">
        <is>
          <t>JÖNKÖPING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11142-2021</t>
        </is>
      </c>
      <c r="B2741" s="1" t="n">
        <v>44261</v>
      </c>
      <c r="C2741" s="1" t="n">
        <v>45828</v>
      </c>
      <c r="D2741" t="inlineStr">
        <is>
          <t>JÖNKÖPINGS LÄN</t>
        </is>
      </c>
      <c r="E2741" t="inlineStr">
        <is>
          <t>JÖNKÖPING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11160-2021</t>
        </is>
      </c>
      <c r="B2742" s="1" t="n">
        <v>44262</v>
      </c>
      <c r="C2742" s="1" t="n">
        <v>45828</v>
      </c>
      <c r="D2742" t="inlineStr">
        <is>
          <t>JÖNKÖPINGS LÄN</t>
        </is>
      </c>
      <c r="E2742" t="inlineStr">
        <is>
          <t>VETLANDA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11330-2021</t>
        </is>
      </c>
      <c r="B2743" s="1" t="n">
        <v>44263</v>
      </c>
      <c r="C2743" s="1" t="n">
        <v>45828</v>
      </c>
      <c r="D2743" t="inlineStr">
        <is>
          <t>JÖNKÖPINGS LÄN</t>
        </is>
      </c>
      <c r="E2743" t="inlineStr">
        <is>
          <t>VÄRNAMO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11277-2021</t>
        </is>
      </c>
      <c r="B2744" s="1" t="n">
        <v>44263</v>
      </c>
      <c r="C2744" s="1" t="n">
        <v>45828</v>
      </c>
      <c r="D2744" t="inlineStr">
        <is>
          <t>JÖNKÖPINGS LÄN</t>
        </is>
      </c>
      <c r="E2744" t="inlineStr">
        <is>
          <t>VAGGERYD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11396-2021</t>
        </is>
      </c>
      <c r="B2745" s="1" t="n">
        <v>44263</v>
      </c>
      <c r="C2745" s="1" t="n">
        <v>45828</v>
      </c>
      <c r="D2745" t="inlineStr">
        <is>
          <t>JÖNKÖPINGS LÄN</t>
        </is>
      </c>
      <c r="E2745" t="inlineStr">
        <is>
          <t>SÄVSJÖ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11398-2021</t>
        </is>
      </c>
      <c r="B2746" s="1" t="n">
        <v>44263</v>
      </c>
      <c r="C2746" s="1" t="n">
        <v>45828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Kyrkan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11414-2021</t>
        </is>
      </c>
      <c r="B2747" s="1" t="n">
        <v>44263</v>
      </c>
      <c r="C2747" s="1" t="n">
        <v>45828</v>
      </c>
      <c r="D2747" t="inlineStr">
        <is>
          <t>JÖNKÖPINGS LÄN</t>
        </is>
      </c>
      <c r="E2747" t="inlineStr">
        <is>
          <t>JÖNKÖPING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11507-2021</t>
        </is>
      </c>
      <c r="B2748" s="1" t="n">
        <v>44264</v>
      </c>
      <c r="C2748" s="1" t="n">
        <v>45828</v>
      </c>
      <c r="D2748" t="inlineStr">
        <is>
          <t>JÖNKÖPINGS LÄN</t>
        </is>
      </c>
      <c r="E2748" t="inlineStr">
        <is>
          <t>VETLANDA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11554-2021</t>
        </is>
      </c>
      <c r="B2749" s="1" t="n">
        <v>44264</v>
      </c>
      <c r="C2749" s="1" t="n">
        <v>45828</v>
      </c>
      <c r="D2749" t="inlineStr">
        <is>
          <t>JÖNKÖPINGS LÄN</t>
        </is>
      </c>
      <c r="E2749" t="inlineStr">
        <is>
          <t>NÄSSJÖ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11578-2021</t>
        </is>
      </c>
      <c r="B2750" s="1" t="n">
        <v>44264</v>
      </c>
      <c r="C2750" s="1" t="n">
        <v>45828</v>
      </c>
      <c r="D2750" t="inlineStr">
        <is>
          <t>JÖNKÖPINGS LÄN</t>
        </is>
      </c>
      <c r="E2750" t="inlineStr">
        <is>
          <t>EKSJÖ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11556-2021</t>
        </is>
      </c>
      <c r="B2751" s="1" t="n">
        <v>44264</v>
      </c>
      <c r="C2751" s="1" t="n">
        <v>45828</v>
      </c>
      <c r="D2751" t="inlineStr">
        <is>
          <t>JÖNKÖPINGS LÄN</t>
        </is>
      </c>
      <c r="E2751" t="inlineStr">
        <is>
          <t>NÄSSJÖ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11671-2021</t>
        </is>
      </c>
      <c r="B2752" s="1" t="n">
        <v>44264</v>
      </c>
      <c r="C2752" s="1" t="n">
        <v>45828</v>
      </c>
      <c r="D2752" t="inlineStr">
        <is>
          <t>JÖNKÖPINGS LÄN</t>
        </is>
      </c>
      <c r="E2752" t="inlineStr">
        <is>
          <t>VETLANDA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11686-2021</t>
        </is>
      </c>
      <c r="B2753" s="1" t="n">
        <v>44264</v>
      </c>
      <c r="C2753" s="1" t="n">
        <v>45828</v>
      </c>
      <c r="D2753" t="inlineStr">
        <is>
          <t>JÖNKÖPINGS LÄN</t>
        </is>
      </c>
      <c r="E2753" t="inlineStr">
        <is>
          <t>NÄSSJÖ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11822-2021</t>
        </is>
      </c>
      <c r="B2754" s="1" t="n">
        <v>44265</v>
      </c>
      <c r="C2754" s="1" t="n">
        <v>45828</v>
      </c>
      <c r="D2754" t="inlineStr">
        <is>
          <t>JÖNKÖPINGS LÄN</t>
        </is>
      </c>
      <c r="E2754" t="inlineStr">
        <is>
          <t>GISLAVED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11727-2021</t>
        </is>
      </c>
      <c r="B2755" s="1" t="n">
        <v>44265</v>
      </c>
      <c r="C2755" s="1" t="n">
        <v>45828</v>
      </c>
      <c r="D2755" t="inlineStr">
        <is>
          <t>JÖNKÖPINGS LÄN</t>
        </is>
      </c>
      <c r="E2755" t="inlineStr">
        <is>
          <t>NÄSSJÖ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11849-2021</t>
        </is>
      </c>
      <c r="B2756" s="1" t="n">
        <v>44265</v>
      </c>
      <c r="C2756" s="1" t="n">
        <v>45828</v>
      </c>
      <c r="D2756" t="inlineStr">
        <is>
          <t>JÖNKÖPINGS LÄN</t>
        </is>
      </c>
      <c r="E2756" t="inlineStr">
        <is>
          <t>GISLAVED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12050-2021</t>
        </is>
      </c>
      <c r="B2757" s="1" t="n">
        <v>44266</v>
      </c>
      <c r="C2757" s="1" t="n">
        <v>45828</v>
      </c>
      <c r="D2757" t="inlineStr">
        <is>
          <t>JÖNKÖPINGS LÄN</t>
        </is>
      </c>
      <c r="E2757" t="inlineStr">
        <is>
          <t>HABO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12088-2021</t>
        </is>
      </c>
      <c r="B2758" s="1" t="n">
        <v>44266</v>
      </c>
      <c r="C2758" s="1" t="n">
        <v>45828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11927-2021</t>
        </is>
      </c>
      <c r="B2759" s="1" t="n">
        <v>44266</v>
      </c>
      <c r="C2759" s="1" t="n">
        <v>45828</v>
      </c>
      <c r="D2759" t="inlineStr">
        <is>
          <t>JÖNKÖPINGS LÄN</t>
        </is>
      </c>
      <c r="E2759" t="inlineStr">
        <is>
          <t>EKSJÖ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12006-2021</t>
        </is>
      </c>
      <c r="B2760" s="1" t="n">
        <v>44266</v>
      </c>
      <c r="C2760" s="1" t="n">
        <v>45828</v>
      </c>
      <c r="D2760" t="inlineStr">
        <is>
          <t>JÖNKÖPINGS LÄN</t>
        </is>
      </c>
      <c r="E2760" t="inlineStr">
        <is>
          <t>VETLANDA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12049-2021</t>
        </is>
      </c>
      <c r="B2761" s="1" t="n">
        <v>44266</v>
      </c>
      <c r="C2761" s="1" t="n">
        <v>45828</v>
      </c>
      <c r="D2761" t="inlineStr">
        <is>
          <t>JÖNKÖPINGS LÄN</t>
        </is>
      </c>
      <c r="E2761" t="inlineStr">
        <is>
          <t>VÄRNAMO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12085-2021</t>
        </is>
      </c>
      <c r="B2762" s="1" t="n">
        <v>44266</v>
      </c>
      <c r="C2762" s="1" t="n">
        <v>45828</v>
      </c>
      <c r="D2762" t="inlineStr">
        <is>
          <t>JÖNKÖPINGS LÄN</t>
        </is>
      </c>
      <c r="E2762" t="inlineStr">
        <is>
          <t>EKSJÖ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12078-2021</t>
        </is>
      </c>
      <c r="B2763" s="1" t="n">
        <v>44266</v>
      </c>
      <c r="C2763" s="1" t="n">
        <v>45828</v>
      </c>
      <c r="D2763" t="inlineStr">
        <is>
          <t>JÖNKÖPINGS LÄN</t>
        </is>
      </c>
      <c r="E2763" t="inlineStr">
        <is>
          <t>GISLAVED</t>
        </is>
      </c>
      <c r="F2763" t="inlineStr">
        <is>
          <t>Sveaskog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12167-2021</t>
        </is>
      </c>
      <c r="B2764" s="1" t="n">
        <v>44266</v>
      </c>
      <c r="C2764" s="1" t="n">
        <v>45828</v>
      </c>
      <c r="D2764" t="inlineStr">
        <is>
          <t>JÖNKÖPINGS LÄN</t>
        </is>
      </c>
      <c r="E2764" t="inlineStr">
        <is>
          <t>JÖNKÖPING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12181-2021</t>
        </is>
      </c>
      <c r="B2765" s="1" t="n">
        <v>44266</v>
      </c>
      <c r="C2765" s="1" t="n">
        <v>45828</v>
      </c>
      <c r="D2765" t="inlineStr">
        <is>
          <t>JÖNKÖPINGS LÄN</t>
        </is>
      </c>
      <c r="E2765" t="inlineStr">
        <is>
          <t>GISLAVED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12224-2021</t>
        </is>
      </c>
      <c r="B2766" s="1" t="n">
        <v>44266</v>
      </c>
      <c r="C2766" s="1" t="n">
        <v>45828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12301-2021</t>
        </is>
      </c>
      <c r="B2767" s="1" t="n">
        <v>44267</v>
      </c>
      <c r="C2767" s="1" t="n">
        <v>45828</v>
      </c>
      <c r="D2767" t="inlineStr">
        <is>
          <t>JÖNKÖPINGS LÄN</t>
        </is>
      </c>
      <c r="E2767" t="inlineStr">
        <is>
          <t>SÄVSJÖ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12414-2021</t>
        </is>
      </c>
      <c r="B2768" s="1" t="n">
        <v>44267</v>
      </c>
      <c r="C2768" s="1" t="n">
        <v>45828</v>
      </c>
      <c r="D2768" t="inlineStr">
        <is>
          <t>JÖNKÖPINGS LÄN</t>
        </is>
      </c>
      <c r="E2768" t="inlineStr">
        <is>
          <t>VETLANDA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12438-2021</t>
        </is>
      </c>
      <c r="B2769" s="1" t="n">
        <v>44267</v>
      </c>
      <c r="C2769" s="1" t="n">
        <v>45828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12388-2021</t>
        </is>
      </c>
      <c r="B2770" s="1" t="n">
        <v>44267</v>
      </c>
      <c r="C2770" s="1" t="n">
        <v>45828</v>
      </c>
      <c r="D2770" t="inlineStr">
        <is>
          <t>JÖNKÖPINGS LÄN</t>
        </is>
      </c>
      <c r="E2770" t="inlineStr">
        <is>
          <t>VÄRNAMO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12379-2021</t>
        </is>
      </c>
      <c r="B2771" s="1" t="n">
        <v>44267</v>
      </c>
      <c r="C2771" s="1" t="n">
        <v>45828</v>
      </c>
      <c r="D2771" t="inlineStr">
        <is>
          <t>JÖNKÖPINGS LÄN</t>
        </is>
      </c>
      <c r="E2771" t="inlineStr">
        <is>
          <t>VETLANDA</t>
        </is>
      </c>
      <c r="G2771" t="n">
        <v>19.4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12483-2021</t>
        </is>
      </c>
      <c r="B2772" s="1" t="n">
        <v>44267</v>
      </c>
      <c r="C2772" s="1" t="n">
        <v>45828</v>
      </c>
      <c r="D2772" t="inlineStr">
        <is>
          <t>JÖNKÖPINGS LÄN</t>
        </is>
      </c>
      <c r="E2772" t="inlineStr">
        <is>
          <t>EKSJÖ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12581-2021</t>
        </is>
      </c>
      <c r="B2773" s="1" t="n">
        <v>44267</v>
      </c>
      <c r="C2773" s="1" t="n">
        <v>45828</v>
      </c>
      <c r="D2773" t="inlineStr">
        <is>
          <t>JÖNKÖPINGS LÄN</t>
        </is>
      </c>
      <c r="E2773" t="inlineStr">
        <is>
          <t>VETLANDA</t>
        </is>
      </c>
      <c r="F2773" t="inlineStr">
        <is>
          <t>Kommuner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12521-2021</t>
        </is>
      </c>
      <c r="B2774" s="1" t="n">
        <v>44269</v>
      </c>
      <c r="C2774" s="1" t="n">
        <v>45828</v>
      </c>
      <c r="D2774" t="inlineStr">
        <is>
          <t>JÖNKÖPINGS LÄN</t>
        </is>
      </c>
      <c r="E2774" t="inlineStr">
        <is>
          <t>SÄVSJÖ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12667-2021</t>
        </is>
      </c>
      <c r="B2775" s="1" t="n">
        <v>44270</v>
      </c>
      <c r="C2775" s="1" t="n">
        <v>45828</v>
      </c>
      <c r="D2775" t="inlineStr">
        <is>
          <t>JÖNKÖPINGS LÄN</t>
        </is>
      </c>
      <c r="E2775" t="inlineStr">
        <is>
          <t>VÄRNAMO</t>
        </is>
      </c>
      <c r="G2775" t="n">
        <v>6.7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12663-2021</t>
        </is>
      </c>
      <c r="B2776" s="1" t="n">
        <v>44270</v>
      </c>
      <c r="C2776" s="1" t="n">
        <v>45828</v>
      </c>
      <c r="D2776" t="inlineStr">
        <is>
          <t>JÖNKÖPINGS LÄN</t>
        </is>
      </c>
      <c r="E2776" t="inlineStr">
        <is>
          <t>JÖNKÖPING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12759-2021</t>
        </is>
      </c>
      <c r="B2777" s="1" t="n">
        <v>44270</v>
      </c>
      <c r="C2777" s="1" t="n">
        <v>45828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12763-2021</t>
        </is>
      </c>
      <c r="B2778" s="1" t="n">
        <v>44270</v>
      </c>
      <c r="C2778" s="1" t="n">
        <v>45828</v>
      </c>
      <c r="D2778" t="inlineStr">
        <is>
          <t>JÖNKÖPINGS LÄN</t>
        </is>
      </c>
      <c r="E2778" t="inlineStr">
        <is>
          <t>VETLANDA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12936-2021</t>
        </is>
      </c>
      <c r="B2779" s="1" t="n">
        <v>44271</v>
      </c>
      <c r="C2779" s="1" t="n">
        <v>45828</v>
      </c>
      <c r="D2779" t="inlineStr">
        <is>
          <t>JÖNKÖPINGS LÄN</t>
        </is>
      </c>
      <c r="E2779" t="inlineStr">
        <is>
          <t>ANEBY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12924-2021</t>
        </is>
      </c>
      <c r="B2780" s="1" t="n">
        <v>44271</v>
      </c>
      <c r="C2780" s="1" t="n">
        <v>45828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12821-2021</t>
        </is>
      </c>
      <c r="B2781" s="1" t="n">
        <v>44271</v>
      </c>
      <c r="C2781" s="1" t="n">
        <v>45828</v>
      </c>
      <c r="D2781" t="inlineStr">
        <is>
          <t>JÖNKÖPINGS LÄN</t>
        </is>
      </c>
      <c r="E2781" t="inlineStr">
        <is>
          <t>EKSJÖ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12974-2021</t>
        </is>
      </c>
      <c r="B2782" s="1" t="n">
        <v>44271</v>
      </c>
      <c r="C2782" s="1" t="n">
        <v>45828</v>
      </c>
      <c r="D2782" t="inlineStr">
        <is>
          <t>JÖNKÖPINGS LÄN</t>
        </is>
      </c>
      <c r="E2782" t="inlineStr">
        <is>
          <t>VETLANDA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12856-2021</t>
        </is>
      </c>
      <c r="B2783" s="1" t="n">
        <v>44271</v>
      </c>
      <c r="C2783" s="1" t="n">
        <v>45828</v>
      </c>
      <c r="D2783" t="inlineStr">
        <is>
          <t>JÖNKÖPINGS LÄN</t>
        </is>
      </c>
      <c r="E2783" t="inlineStr">
        <is>
          <t>SÄVSJÖ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13057-2021</t>
        </is>
      </c>
      <c r="B2784" s="1" t="n">
        <v>44271</v>
      </c>
      <c r="C2784" s="1" t="n">
        <v>45828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13099-2021</t>
        </is>
      </c>
      <c r="B2785" s="1" t="n">
        <v>44272</v>
      </c>
      <c r="C2785" s="1" t="n">
        <v>45828</v>
      </c>
      <c r="D2785" t="inlineStr">
        <is>
          <t>JÖNKÖPINGS LÄN</t>
        </is>
      </c>
      <c r="E2785" t="inlineStr">
        <is>
          <t>MULLSJÖ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13221-2021</t>
        </is>
      </c>
      <c r="B2786" s="1" t="n">
        <v>44272</v>
      </c>
      <c r="C2786" s="1" t="n">
        <v>45828</v>
      </c>
      <c r="D2786" t="inlineStr">
        <is>
          <t>JÖNKÖPINGS LÄN</t>
        </is>
      </c>
      <c r="E2786" t="inlineStr">
        <is>
          <t>VETLANDA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13235-2021</t>
        </is>
      </c>
      <c r="B2787" s="1" t="n">
        <v>44272</v>
      </c>
      <c r="C2787" s="1" t="n">
        <v>45828</v>
      </c>
      <c r="D2787" t="inlineStr">
        <is>
          <t>JÖNKÖPINGS LÄN</t>
        </is>
      </c>
      <c r="E2787" t="inlineStr">
        <is>
          <t>JÖNKÖPING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13101-2021</t>
        </is>
      </c>
      <c r="B2788" s="1" t="n">
        <v>44272</v>
      </c>
      <c r="C2788" s="1" t="n">
        <v>45828</v>
      </c>
      <c r="D2788" t="inlineStr">
        <is>
          <t>JÖNKÖPINGS LÄN</t>
        </is>
      </c>
      <c r="E2788" t="inlineStr">
        <is>
          <t>MULLSJÖ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13212-2021</t>
        </is>
      </c>
      <c r="B2789" s="1" t="n">
        <v>44272</v>
      </c>
      <c r="C2789" s="1" t="n">
        <v>45828</v>
      </c>
      <c r="D2789" t="inlineStr">
        <is>
          <t>JÖNKÖPINGS LÄN</t>
        </is>
      </c>
      <c r="E2789" t="inlineStr">
        <is>
          <t>JÖNKÖPING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13217-2021</t>
        </is>
      </c>
      <c r="B2790" s="1" t="n">
        <v>44272</v>
      </c>
      <c r="C2790" s="1" t="n">
        <v>45828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13095-2021</t>
        </is>
      </c>
      <c r="B2791" s="1" t="n">
        <v>44272</v>
      </c>
      <c r="C2791" s="1" t="n">
        <v>45828</v>
      </c>
      <c r="D2791" t="inlineStr">
        <is>
          <t>JÖNKÖPINGS LÄN</t>
        </is>
      </c>
      <c r="E2791" t="inlineStr">
        <is>
          <t>MULLSJÖ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13158-2021</t>
        </is>
      </c>
      <c r="B2792" s="1" t="n">
        <v>44272</v>
      </c>
      <c r="C2792" s="1" t="n">
        <v>45828</v>
      </c>
      <c r="D2792" t="inlineStr">
        <is>
          <t>JÖNKÖPINGS LÄN</t>
        </is>
      </c>
      <c r="E2792" t="inlineStr">
        <is>
          <t>VAGGERYD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13215-2021</t>
        </is>
      </c>
      <c r="B2793" s="1" t="n">
        <v>44272</v>
      </c>
      <c r="C2793" s="1" t="n">
        <v>45828</v>
      </c>
      <c r="D2793" t="inlineStr">
        <is>
          <t>JÖNKÖPINGS LÄN</t>
        </is>
      </c>
      <c r="E2793" t="inlineStr">
        <is>
          <t>VETLANDA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13228-2021</t>
        </is>
      </c>
      <c r="B2794" s="1" t="n">
        <v>44272</v>
      </c>
      <c r="C2794" s="1" t="n">
        <v>45828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13251-2021</t>
        </is>
      </c>
      <c r="B2795" s="1" t="n">
        <v>44272</v>
      </c>
      <c r="C2795" s="1" t="n">
        <v>45828</v>
      </c>
      <c r="D2795" t="inlineStr">
        <is>
          <t>JÖNKÖPINGS LÄN</t>
        </is>
      </c>
      <c r="E2795" t="inlineStr">
        <is>
          <t>GISLAVED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13341-2021</t>
        </is>
      </c>
      <c r="B2796" s="1" t="n">
        <v>44273</v>
      </c>
      <c r="C2796" s="1" t="n">
        <v>45828</v>
      </c>
      <c r="D2796" t="inlineStr">
        <is>
          <t>JÖNKÖPINGS LÄN</t>
        </is>
      </c>
      <c r="E2796" t="inlineStr">
        <is>
          <t>JÖNKÖPING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13451-2021</t>
        </is>
      </c>
      <c r="B2797" s="1" t="n">
        <v>44273</v>
      </c>
      <c r="C2797" s="1" t="n">
        <v>45828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13383-2021</t>
        </is>
      </c>
      <c r="B2798" s="1" t="n">
        <v>44273</v>
      </c>
      <c r="C2798" s="1" t="n">
        <v>45828</v>
      </c>
      <c r="D2798" t="inlineStr">
        <is>
          <t>JÖNKÖPINGS LÄN</t>
        </is>
      </c>
      <c r="E2798" t="inlineStr">
        <is>
          <t>VÄRNAMO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13409-2021</t>
        </is>
      </c>
      <c r="B2799" s="1" t="n">
        <v>44273</v>
      </c>
      <c r="C2799" s="1" t="n">
        <v>45828</v>
      </c>
      <c r="D2799" t="inlineStr">
        <is>
          <t>JÖNKÖPINGS LÄN</t>
        </is>
      </c>
      <c r="E2799" t="inlineStr">
        <is>
          <t>VETLANDA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13342-2021</t>
        </is>
      </c>
      <c r="B2800" s="1" t="n">
        <v>44273</v>
      </c>
      <c r="C2800" s="1" t="n">
        <v>45828</v>
      </c>
      <c r="D2800" t="inlineStr">
        <is>
          <t>JÖNKÖPINGS LÄN</t>
        </is>
      </c>
      <c r="E2800" t="inlineStr">
        <is>
          <t>JÖNKÖPING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13426-2021</t>
        </is>
      </c>
      <c r="B2801" s="1" t="n">
        <v>44273</v>
      </c>
      <c r="C2801" s="1" t="n">
        <v>45828</v>
      </c>
      <c r="D2801" t="inlineStr">
        <is>
          <t>JÖNKÖPINGS LÄN</t>
        </is>
      </c>
      <c r="E2801" t="inlineStr">
        <is>
          <t>VETLANDA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13452-2021</t>
        </is>
      </c>
      <c r="B2802" s="1" t="n">
        <v>44273</v>
      </c>
      <c r="C2802" s="1" t="n">
        <v>45828</v>
      </c>
      <c r="D2802" t="inlineStr">
        <is>
          <t>JÖNKÖPINGS LÄN</t>
        </is>
      </c>
      <c r="E2802" t="inlineStr">
        <is>
          <t>GISLAVED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13412-2021</t>
        </is>
      </c>
      <c r="B2803" s="1" t="n">
        <v>44273</v>
      </c>
      <c r="C2803" s="1" t="n">
        <v>45828</v>
      </c>
      <c r="D2803" t="inlineStr">
        <is>
          <t>JÖNKÖPINGS LÄN</t>
        </is>
      </c>
      <c r="E2803" t="inlineStr">
        <is>
          <t>JÖNKÖPING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13449-2021</t>
        </is>
      </c>
      <c r="B2804" s="1" t="n">
        <v>44273</v>
      </c>
      <c r="C2804" s="1" t="n">
        <v>45828</v>
      </c>
      <c r="D2804" t="inlineStr">
        <is>
          <t>JÖNKÖPINGS LÄN</t>
        </is>
      </c>
      <c r="E2804" t="inlineStr">
        <is>
          <t>GISLAVED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13478-2021</t>
        </is>
      </c>
      <c r="B2805" s="1" t="n">
        <v>44273</v>
      </c>
      <c r="C2805" s="1" t="n">
        <v>45828</v>
      </c>
      <c r="D2805" t="inlineStr">
        <is>
          <t>JÖNKÖPINGS LÄN</t>
        </is>
      </c>
      <c r="E2805" t="inlineStr">
        <is>
          <t>JÖNKÖPING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13513-2021</t>
        </is>
      </c>
      <c r="B2806" s="1" t="n">
        <v>44273</v>
      </c>
      <c r="C2806" s="1" t="n">
        <v>45828</v>
      </c>
      <c r="D2806" t="inlineStr">
        <is>
          <t>JÖNKÖPINGS LÄN</t>
        </is>
      </c>
      <c r="E2806" t="inlineStr">
        <is>
          <t>EKSJÖ</t>
        </is>
      </c>
      <c r="G2806" t="n">
        <v>6.7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13455-2021</t>
        </is>
      </c>
      <c r="B2807" s="1" t="n">
        <v>44273</v>
      </c>
      <c r="C2807" s="1" t="n">
        <v>45828</v>
      </c>
      <c r="D2807" t="inlineStr">
        <is>
          <t>JÖNKÖPINGS LÄN</t>
        </is>
      </c>
      <c r="E2807" t="inlineStr">
        <is>
          <t>GISLAVED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13556-2021</t>
        </is>
      </c>
      <c r="B2808" s="1" t="n">
        <v>44273</v>
      </c>
      <c r="C2808" s="1" t="n">
        <v>45828</v>
      </c>
      <c r="D2808" t="inlineStr">
        <is>
          <t>JÖNKÖPINGS LÄN</t>
        </is>
      </c>
      <c r="E2808" t="inlineStr">
        <is>
          <t>SÄVSJÖ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13611-2021</t>
        </is>
      </c>
      <c r="B2809" s="1" t="n">
        <v>44274</v>
      </c>
      <c r="C2809" s="1" t="n">
        <v>45828</v>
      </c>
      <c r="D2809" t="inlineStr">
        <is>
          <t>JÖNKÖPINGS LÄN</t>
        </is>
      </c>
      <c r="E2809" t="inlineStr">
        <is>
          <t>EKSJÖ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13781-2021</t>
        </is>
      </c>
      <c r="B2810" s="1" t="n">
        <v>44274</v>
      </c>
      <c r="C2810" s="1" t="n">
        <v>45828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13609-2021</t>
        </is>
      </c>
      <c r="B2811" s="1" t="n">
        <v>44274</v>
      </c>
      <c r="C2811" s="1" t="n">
        <v>45828</v>
      </c>
      <c r="D2811" t="inlineStr">
        <is>
          <t>JÖNKÖPINGS LÄN</t>
        </is>
      </c>
      <c r="E2811" t="inlineStr">
        <is>
          <t>HABO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13616-2021</t>
        </is>
      </c>
      <c r="B2812" s="1" t="n">
        <v>44274</v>
      </c>
      <c r="C2812" s="1" t="n">
        <v>45828</v>
      </c>
      <c r="D2812" t="inlineStr">
        <is>
          <t>JÖNKÖPINGS LÄN</t>
        </is>
      </c>
      <c r="E2812" t="inlineStr">
        <is>
          <t>EKSJÖ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13801-2021</t>
        </is>
      </c>
      <c r="B2813" s="1" t="n">
        <v>44275</v>
      </c>
      <c r="C2813" s="1" t="n">
        <v>45828</v>
      </c>
      <c r="D2813" t="inlineStr">
        <is>
          <t>JÖNKÖPINGS LÄN</t>
        </is>
      </c>
      <c r="E2813" t="inlineStr">
        <is>
          <t>GISLAVED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13909-2021</t>
        </is>
      </c>
      <c r="B2814" s="1" t="n">
        <v>44277</v>
      </c>
      <c r="C2814" s="1" t="n">
        <v>45828</v>
      </c>
      <c r="D2814" t="inlineStr">
        <is>
          <t>JÖNKÖPINGS LÄN</t>
        </is>
      </c>
      <c r="E2814" t="inlineStr">
        <is>
          <t>VÄRNAMO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14030-2021</t>
        </is>
      </c>
      <c r="B2815" s="1" t="n">
        <v>44277</v>
      </c>
      <c r="C2815" s="1" t="n">
        <v>45828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13923-2021</t>
        </is>
      </c>
      <c r="B2816" s="1" t="n">
        <v>44277</v>
      </c>
      <c r="C2816" s="1" t="n">
        <v>45828</v>
      </c>
      <c r="D2816" t="inlineStr">
        <is>
          <t>JÖNKÖPINGS LÄN</t>
        </is>
      </c>
      <c r="E2816" t="inlineStr">
        <is>
          <t>NÄSSJÖ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14100-2021</t>
        </is>
      </c>
      <c r="B2817" s="1" t="n">
        <v>44278</v>
      </c>
      <c r="C2817" s="1" t="n">
        <v>45828</v>
      </c>
      <c r="D2817" t="inlineStr">
        <is>
          <t>JÖNKÖPINGS LÄN</t>
        </is>
      </c>
      <c r="E2817" t="inlineStr">
        <is>
          <t>GISLAVED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14141-2021</t>
        </is>
      </c>
      <c r="B2818" s="1" t="n">
        <v>44278</v>
      </c>
      <c r="C2818" s="1" t="n">
        <v>45828</v>
      </c>
      <c r="D2818" t="inlineStr">
        <is>
          <t>JÖNKÖPINGS LÄN</t>
        </is>
      </c>
      <c r="E2818" t="inlineStr">
        <is>
          <t>JÖNKÖPING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14101-2021</t>
        </is>
      </c>
      <c r="B2819" s="1" t="n">
        <v>44278</v>
      </c>
      <c r="C2819" s="1" t="n">
        <v>45828</v>
      </c>
      <c r="D2819" t="inlineStr">
        <is>
          <t>JÖNKÖPINGS LÄN</t>
        </is>
      </c>
      <c r="E2819" t="inlineStr">
        <is>
          <t>VÄRNAMO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14133-2021</t>
        </is>
      </c>
      <c r="B2820" s="1" t="n">
        <v>44278</v>
      </c>
      <c r="C2820" s="1" t="n">
        <v>45828</v>
      </c>
      <c r="D2820" t="inlineStr">
        <is>
          <t>JÖNKÖPINGS LÄN</t>
        </is>
      </c>
      <c r="E2820" t="inlineStr">
        <is>
          <t>VÄRNAMO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14143-2021</t>
        </is>
      </c>
      <c r="B2821" s="1" t="n">
        <v>44278</v>
      </c>
      <c r="C2821" s="1" t="n">
        <v>45828</v>
      </c>
      <c r="D2821" t="inlineStr">
        <is>
          <t>JÖNKÖPINGS LÄN</t>
        </is>
      </c>
      <c r="E2821" t="inlineStr">
        <is>
          <t>JÖNKÖPING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14103-2021</t>
        </is>
      </c>
      <c r="B2822" s="1" t="n">
        <v>44278</v>
      </c>
      <c r="C2822" s="1" t="n">
        <v>45828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14322-2021</t>
        </is>
      </c>
      <c r="B2823" s="1" t="n">
        <v>44278</v>
      </c>
      <c r="C2823" s="1" t="n">
        <v>45828</v>
      </c>
      <c r="D2823" t="inlineStr">
        <is>
          <t>JÖNKÖPINGS LÄN</t>
        </is>
      </c>
      <c r="E2823" t="inlineStr">
        <is>
          <t>VÄRNAMO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14342-2021</t>
        </is>
      </c>
      <c r="B2824" s="1" t="n">
        <v>44278</v>
      </c>
      <c r="C2824" s="1" t="n">
        <v>45828</v>
      </c>
      <c r="D2824" t="inlineStr">
        <is>
          <t>JÖNKÖPINGS LÄN</t>
        </is>
      </c>
      <c r="E2824" t="inlineStr">
        <is>
          <t>TRANÅS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14373-2021</t>
        </is>
      </c>
      <c r="B2825" s="1" t="n">
        <v>44279</v>
      </c>
      <c r="C2825" s="1" t="n">
        <v>45828</v>
      </c>
      <c r="D2825" t="inlineStr">
        <is>
          <t>JÖNKÖPINGS LÄN</t>
        </is>
      </c>
      <c r="E2825" t="inlineStr">
        <is>
          <t>JÖNKÖPING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14497-2021</t>
        </is>
      </c>
      <c r="B2826" s="1" t="n">
        <v>44279</v>
      </c>
      <c r="C2826" s="1" t="n">
        <v>45828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14610-2021</t>
        </is>
      </c>
      <c r="B2827" s="1" t="n">
        <v>44280</v>
      </c>
      <c r="C2827" s="1" t="n">
        <v>45828</v>
      </c>
      <c r="D2827" t="inlineStr">
        <is>
          <t>JÖNKÖPINGS LÄN</t>
        </is>
      </c>
      <c r="E2827" t="inlineStr">
        <is>
          <t>NÄSSJÖ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14818-2021</t>
        </is>
      </c>
      <c r="B2828" s="1" t="n">
        <v>44280</v>
      </c>
      <c r="C2828" s="1" t="n">
        <v>45828</v>
      </c>
      <c r="D2828" t="inlineStr">
        <is>
          <t>JÖNKÖPINGS LÄN</t>
        </is>
      </c>
      <c r="E2828" t="inlineStr">
        <is>
          <t>JÖNKÖPING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14702-2021</t>
        </is>
      </c>
      <c r="B2829" s="1" t="n">
        <v>44280</v>
      </c>
      <c r="C2829" s="1" t="n">
        <v>45828</v>
      </c>
      <c r="D2829" t="inlineStr">
        <is>
          <t>JÖNKÖPINGS LÄN</t>
        </is>
      </c>
      <c r="E2829" t="inlineStr">
        <is>
          <t>VAGGERYD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14620-2021</t>
        </is>
      </c>
      <c r="B2830" s="1" t="n">
        <v>44280</v>
      </c>
      <c r="C2830" s="1" t="n">
        <v>45828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14899-2021</t>
        </is>
      </c>
      <c r="B2831" s="1" t="n">
        <v>44280</v>
      </c>
      <c r="C2831" s="1" t="n">
        <v>45828</v>
      </c>
      <c r="D2831" t="inlineStr">
        <is>
          <t>JÖNKÖPINGS LÄN</t>
        </is>
      </c>
      <c r="E2831" t="inlineStr">
        <is>
          <t>ANEBY</t>
        </is>
      </c>
      <c r="G2831" t="n">
        <v>4.4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15014-2021</t>
        </is>
      </c>
      <c r="B2832" s="1" t="n">
        <v>44281</v>
      </c>
      <c r="C2832" s="1" t="n">
        <v>45828</v>
      </c>
      <c r="D2832" t="inlineStr">
        <is>
          <t>JÖNKÖPINGS LÄN</t>
        </is>
      </c>
      <c r="E2832" t="inlineStr">
        <is>
          <t>SÄVSJÖ</t>
        </is>
      </c>
      <c r="F2832" t="inlineStr">
        <is>
          <t>Sveaskog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15042-2021</t>
        </is>
      </c>
      <c r="B2833" s="1" t="n">
        <v>44281</v>
      </c>
      <c r="C2833" s="1" t="n">
        <v>45828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15038-2021</t>
        </is>
      </c>
      <c r="B2834" s="1" t="n">
        <v>44281</v>
      </c>
      <c r="C2834" s="1" t="n">
        <v>45828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14972-2021</t>
        </is>
      </c>
      <c r="B2835" s="1" t="n">
        <v>44281</v>
      </c>
      <c r="C2835" s="1" t="n">
        <v>45828</v>
      </c>
      <c r="D2835" t="inlineStr">
        <is>
          <t>JÖNKÖPINGS LÄN</t>
        </is>
      </c>
      <c r="E2835" t="inlineStr">
        <is>
          <t>EKSJÖ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15169-2021</t>
        </is>
      </c>
      <c r="B2836" s="1" t="n">
        <v>44284</v>
      </c>
      <c r="C2836" s="1" t="n">
        <v>45828</v>
      </c>
      <c r="D2836" t="inlineStr">
        <is>
          <t>JÖNKÖPINGS LÄN</t>
        </is>
      </c>
      <c r="E2836" t="inlineStr">
        <is>
          <t>JÖNKÖPING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15259-2021</t>
        </is>
      </c>
      <c r="B2837" s="1" t="n">
        <v>44284</v>
      </c>
      <c r="C2837" s="1" t="n">
        <v>45828</v>
      </c>
      <c r="D2837" t="inlineStr">
        <is>
          <t>JÖNKÖPINGS LÄN</t>
        </is>
      </c>
      <c r="E2837" t="inlineStr">
        <is>
          <t>VAGGERYD</t>
        </is>
      </c>
      <c r="F2837" t="inlineStr">
        <is>
          <t>Övriga Aktiebolag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15293-2021</t>
        </is>
      </c>
      <c r="B2838" s="1" t="n">
        <v>44284</v>
      </c>
      <c r="C2838" s="1" t="n">
        <v>45828</v>
      </c>
      <c r="D2838" t="inlineStr">
        <is>
          <t>JÖNKÖPINGS LÄN</t>
        </is>
      </c>
      <c r="E2838" t="inlineStr">
        <is>
          <t>VÄRNAMO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15338-2021</t>
        </is>
      </c>
      <c r="B2839" s="1" t="n">
        <v>44284</v>
      </c>
      <c r="C2839" s="1" t="n">
        <v>45828</v>
      </c>
      <c r="D2839" t="inlineStr">
        <is>
          <t>JÖNKÖPINGS LÄN</t>
        </is>
      </c>
      <c r="E2839" t="inlineStr">
        <is>
          <t>GNOSJÖ</t>
        </is>
      </c>
      <c r="F2839" t="inlineStr">
        <is>
          <t>Kyrkan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15387-2021</t>
        </is>
      </c>
      <c r="B2840" s="1" t="n">
        <v>44284</v>
      </c>
      <c r="C2840" s="1" t="n">
        <v>45828</v>
      </c>
      <c r="D2840" t="inlineStr">
        <is>
          <t>JÖNKÖPINGS LÄN</t>
        </is>
      </c>
      <c r="E2840" t="inlineStr">
        <is>
          <t>GISLAVED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15388-2021</t>
        </is>
      </c>
      <c r="B2841" s="1" t="n">
        <v>44284</v>
      </c>
      <c r="C2841" s="1" t="n">
        <v>45828</v>
      </c>
      <c r="D2841" t="inlineStr">
        <is>
          <t>JÖNKÖPINGS LÄN</t>
        </is>
      </c>
      <c r="E2841" t="inlineStr">
        <is>
          <t>GISLAVED</t>
        </is>
      </c>
      <c r="G2841" t="n">
        <v>13.2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15605-2021</t>
        </is>
      </c>
      <c r="B2842" s="1" t="n">
        <v>44285</v>
      </c>
      <c r="C2842" s="1" t="n">
        <v>45828</v>
      </c>
      <c r="D2842" t="inlineStr">
        <is>
          <t>JÖNKÖPINGS LÄN</t>
        </is>
      </c>
      <c r="E2842" t="inlineStr">
        <is>
          <t>SÄVSJÖ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15468-2021</t>
        </is>
      </c>
      <c r="B2843" s="1" t="n">
        <v>44285</v>
      </c>
      <c r="C2843" s="1" t="n">
        <v>45828</v>
      </c>
      <c r="D2843" t="inlineStr">
        <is>
          <t>JÖNKÖPINGS LÄN</t>
        </is>
      </c>
      <c r="E2843" t="inlineStr">
        <is>
          <t>MULLSJÖ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15593-2021</t>
        </is>
      </c>
      <c r="B2844" s="1" t="n">
        <v>44285</v>
      </c>
      <c r="C2844" s="1" t="n">
        <v>45828</v>
      </c>
      <c r="D2844" t="inlineStr">
        <is>
          <t>JÖNKÖPINGS LÄN</t>
        </is>
      </c>
      <c r="E2844" t="inlineStr">
        <is>
          <t>GISLAVED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15664-2021</t>
        </is>
      </c>
      <c r="B2845" s="1" t="n">
        <v>44286</v>
      </c>
      <c r="C2845" s="1" t="n">
        <v>45828</v>
      </c>
      <c r="D2845" t="inlineStr">
        <is>
          <t>JÖNKÖPINGS LÄN</t>
        </is>
      </c>
      <c r="E2845" t="inlineStr">
        <is>
          <t>VÄRNAMO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15657-2021</t>
        </is>
      </c>
      <c r="B2846" s="1" t="n">
        <v>44286</v>
      </c>
      <c r="C2846" s="1" t="n">
        <v>45828</v>
      </c>
      <c r="D2846" t="inlineStr">
        <is>
          <t>JÖNKÖPINGS LÄN</t>
        </is>
      </c>
      <c r="E2846" t="inlineStr">
        <is>
          <t>VETLANDA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15670-2021</t>
        </is>
      </c>
      <c r="B2847" s="1" t="n">
        <v>44286</v>
      </c>
      <c r="C2847" s="1" t="n">
        <v>45828</v>
      </c>
      <c r="D2847" t="inlineStr">
        <is>
          <t>JÖNKÖPINGS LÄN</t>
        </is>
      </c>
      <c r="E2847" t="inlineStr">
        <is>
          <t>JÖNKÖPING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15829-2021</t>
        </is>
      </c>
      <c r="B2848" s="1" t="n">
        <v>44286</v>
      </c>
      <c r="C2848" s="1" t="n">
        <v>45828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15723-2021</t>
        </is>
      </c>
      <c r="B2849" s="1" t="n">
        <v>44286</v>
      </c>
      <c r="C2849" s="1" t="n">
        <v>45828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15826-2021</t>
        </is>
      </c>
      <c r="B2850" s="1" t="n">
        <v>44286</v>
      </c>
      <c r="C2850" s="1" t="n">
        <v>45828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15823-2021</t>
        </is>
      </c>
      <c r="B2851" s="1" t="n">
        <v>44286</v>
      </c>
      <c r="C2851" s="1" t="n">
        <v>45828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15898-2021</t>
        </is>
      </c>
      <c r="B2852" s="1" t="n">
        <v>44287</v>
      </c>
      <c r="C2852" s="1" t="n">
        <v>45828</v>
      </c>
      <c r="D2852" t="inlineStr">
        <is>
          <t>JÖNKÖPINGS LÄN</t>
        </is>
      </c>
      <c r="E2852" t="inlineStr">
        <is>
          <t>VETLANDA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15978-2021</t>
        </is>
      </c>
      <c r="B2853" s="1" t="n">
        <v>44287</v>
      </c>
      <c r="C2853" s="1" t="n">
        <v>45828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11.6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16215-2021</t>
        </is>
      </c>
      <c r="B2854" s="1" t="n">
        <v>44287</v>
      </c>
      <c r="C2854" s="1" t="n">
        <v>45828</v>
      </c>
      <c r="D2854" t="inlineStr">
        <is>
          <t>JÖNKÖPINGS LÄN</t>
        </is>
      </c>
      <c r="E2854" t="inlineStr">
        <is>
          <t>TRANÅS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16041-2021</t>
        </is>
      </c>
      <c r="B2855" s="1" t="n">
        <v>44287</v>
      </c>
      <c r="C2855" s="1" t="n">
        <v>45828</v>
      </c>
      <c r="D2855" t="inlineStr">
        <is>
          <t>JÖNKÖPINGS LÄN</t>
        </is>
      </c>
      <c r="E2855" t="inlineStr">
        <is>
          <t>JÖNKÖPING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15947-2021</t>
        </is>
      </c>
      <c r="B2856" s="1" t="n">
        <v>44287</v>
      </c>
      <c r="C2856" s="1" t="n">
        <v>45828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16119-2021</t>
        </is>
      </c>
      <c r="B2857" s="1" t="n">
        <v>44291</v>
      </c>
      <c r="C2857" s="1" t="n">
        <v>45828</v>
      </c>
      <c r="D2857" t="inlineStr">
        <is>
          <t>JÖNKÖPINGS LÄN</t>
        </is>
      </c>
      <c r="E2857" t="inlineStr">
        <is>
          <t>VETLANDA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16130-2021</t>
        </is>
      </c>
      <c r="B2858" s="1" t="n">
        <v>44292</v>
      </c>
      <c r="C2858" s="1" t="n">
        <v>45828</v>
      </c>
      <c r="D2858" t="inlineStr">
        <is>
          <t>JÖNKÖPINGS LÄN</t>
        </is>
      </c>
      <c r="E2858" t="inlineStr">
        <is>
          <t>JÖNKÖPING</t>
        </is>
      </c>
      <c r="G2858" t="n">
        <v>8.1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16131-2021</t>
        </is>
      </c>
      <c r="B2859" s="1" t="n">
        <v>44292</v>
      </c>
      <c r="C2859" s="1" t="n">
        <v>45828</v>
      </c>
      <c r="D2859" t="inlineStr">
        <is>
          <t>JÖNKÖPINGS LÄN</t>
        </is>
      </c>
      <c r="E2859" t="inlineStr">
        <is>
          <t>JÖNKÖPING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16407-2021</t>
        </is>
      </c>
      <c r="B2860" s="1" t="n">
        <v>44293</v>
      </c>
      <c r="C2860" s="1" t="n">
        <v>45828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16394-2021</t>
        </is>
      </c>
      <c r="B2861" s="1" t="n">
        <v>44293</v>
      </c>
      <c r="C2861" s="1" t="n">
        <v>45828</v>
      </c>
      <c r="D2861" t="inlineStr">
        <is>
          <t>JÖNKÖPINGS LÄN</t>
        </is>
      </c>
      <c r="E2861" t="inlineStr">
        <is>
          <t>VETLANDA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16701-2021</t>
        </is>
      </c>
      <c r="B2862" s="1" t="n">
        <v>44294</v>
      </c>
      <c r="C2862" s="1" t="n">
        <v>45828</v>
      </c>
      <c r="D2862" t="inlineStr">
        <is>
          <t>JÖNKÖPINGS LÄN</t>
        </is>
      </c>
      <c r="E2862" t="inlineStr">
        <is>
          <t>JÖNKÖPING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16762-2021</t>
        </is>
      </c>
      <c r="B2863" s="1" t="n">
        <v>44294</v>
      </c>
      <c r="C2863" s="1" t="n">
        <v>45828</v>
      </c>
      <c r="D2863" t="inlineStr">
        <is>
          <t>JÖNKÖPINGS LÄN</t>
        </is>
      </c>
      <c r="E2863" t="inlineStr">
        <is>
          <t>VETLANDA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16881-2021</t>
        </is>
      </c>
      <c r="B2864" s="1" t="n">
        <v>44294</v>
      </c>
      <c r="C2864" s="1" t="n">
        <v>45828</v>
      </c>
      <c r="D2864" t="inlineStr">
        <is>
          <t>JÖNKÖPINGS LÄN</t>
        </is>
      </c>
      <c r="E2864" t="inlineStr">
        <is>
          <t>NÄSSJÖ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16769-2021</t>
        </is>
      </c>
      <c r="B2865" s="1" t="n">
        <v>44294</v>
      </c>
      <c r="C2865" s="1" t="n">
        <v>45828</v>
      </c>
      <c r="D2865" t="inlineStr">
        <is>
          <t>JÖNKÖPINGS LÄN</t>
        </is>
      </c>
      <c r="E2865" t="inlineStr">
        <is>
          <t>EKSJÖ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16878-2021</t>
        </is>
      </c>
      <c r="B2866" s="1" t="n">
        <v>44294</v>
      </c>
      <c r="C2866" s="1" t="n">
        <v>45828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16763-2021</t>
        </is>
      </c>
      <c r="B2867" s="1" t="n">
        <v>44294</v>
      </c>
      <c r="C2867" s="1" t="n">
        <v>45828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16877-2021</t>
        </is>
      </c>
      <c r="B2868" s="1" t="n">
        <v>44295</v>
      </c>
      <c r="C2868" s="1" t="n">
        <v>45828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16875-2021</t>
        </is>
      </c>
      <c r="B2869" s="1" t="n">
        <v>44295</v>
      </c>
      <c r="C2869" s="1" t="n">
        <v>45828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16947-2021</t>
        </is>
      </c>
      <c r="B2870" s="1" t="n">
        <v>44295</v>
      </c>
      <c r="C2870" s="1" t="n">
        <v>45828</v>
      </c>
      <c r="D2870" t="inlineStr">
        <is>
          <t>JÖNKÖPINGS LÄN</t>
        </is>
      </c>
      <c r="E2870" t="inlineStr">
        <is>
          <t>VETLANDA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16791-2021</t>
        </is>
      </c>
      <c r="B2871" s="1" t="n">
        <v>44295</v>
      </c>
      <c r="C2871" s="1" t="n">
        <v>45828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17083-2021</t>
        </is>
      </c>
      <c r="B2872" s="1" t="n">
        <v>44297</v>
      </c>
      <c r="C2872" s="1" t="n">
        <v>45828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17168-2021</t>
        </is>
      </c>
      <c r="B2873" s="1" t="n">
        <v>44298</v>
      </c>
      <c r="C2873" s="1" t="n">
        <v>45828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17177-2021</t>
        </is>
      </c>
      <c r="B2874" s="1" t="n">
        <v>44298</v>
      </c>
      <c r="C2874" s="1" t="n">
        <v>45828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17284-2021</t>
        </is>
      </c>
      <c r="B2875" s="1" t="n">
        <v>44298</v>
      </c>
      <c r="C2875" s="1" t="n">
        <v>45828</v>
      </c>
      <c r="D2875" t="inlineStr">
        <is>
          <t>JÖNKÖPINGS LÄN</t>
        </is>
      </c>
      <c r="E2875" t="inlineStr">
        <is>
          <t>NÄSSJÖ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17093-2021</t>
        </is>
      </c>
      <c r="B2876" s="1" t="n">
        <v>44298</v>
      </c>
      <c r="C2876" s="1" t="n">
        <v>45828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17147-2021</t>
        </is>
      </c>
      <c r="B2877" s="1" t="n">
        <v>44298</v>
      </c>
      <c r="C2877" s="1" t="n">
        <v>45828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17165-2021</t>
        </is>
      </c>
      <c r="B2878" s="1" t="n">
        <v>44298</v>
      </c>
      <c r="C2878" s="1" t="n">
        <v>45828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17175-2021</t>
        </is>
      </c>
      <c r="B2879" s="1" t="n">
        <v>44298</v>
      </c>
      <c r="C2879" s="1" t="n">
        <v>45828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17280-2021</t>
        </is>
      </c>
      <c r="B2880" s="1" t="n">
        <v>44298</v>
      </c>
      <c r="C2880" s="1" t="n">
        <v>45828</v>
      </c>
      <c r="D2880" t="inlineStr">
        <is>
          <t>JÖNKÖPINGS LÄN</t>
        </is>
      </c>
      <c r="E2880" t="inlineStr">
        <is>
          <t>TRANÅS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17285-2021</t>
        </is>
      </c>
      <c r="B2881" s="1" t="n">
        <v>44298</v>
      </c>
      <c r="C2881" s="1" t="n">
        <v>45828</v>
      </c>
      <c r="D2881" t="inlineStr">
        <is>
          <t>JÖNKÖPINGS LÄN</t>
        </is>
      </c>
      <c r="E2881" t="inlineStr">
        <is>
          <t>NÄSSJÖ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17396-2021</t>
        </is>
      </c>
      <c r="B2882" s="1" t="n">
        <v>44299</v>
      </c>
      <c r="C2882" s="1" t="n">
        <v>45828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17400-2021</t>
        </is>
      </c>
      <c r="B2883" s="1" t="n">
        <v>44299</v>
      </c>
      <c r="C2883" s="1" t="n">
        <v>45828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17409-2021</t>
        </is>
      </c>
      <c r="B2884" s="1" t="n">
        <v>44299</v>
      </c>
      <c r="C2884" s="1" t="n">
        <v>45828</v>
      </c>
      <c r="D2884" t="inlineStr">
        <is>
          <t>JÖNKÖPINGS LÄN</t>
        </is>
      </c>
      <c r="E2884" t="inlineStr">
        <is>
          <t>NÄSSJÖ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17524-2021</t>
        </is>
      </c>
      <c r="B2885" s="1" t="n">
        <v>44299</v>
      </c>
      <c r="C2885" s="1" t="n">
        <v>45828</v>
      </c>
      <c r="D2885" t="inlineStr">
        <is>
          <t>JÖNKÖPINGS LÄN</t>
        </is>
      </c>
      <c r="E2885" t="inlineStr">
        <is>
          <t>GISLAVED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17561-2021</t>
        </is>
      </c>
      <c r="B2886" s="1" t="n">
        <v>44299</v>
      </c>
      <c r="C2886" s="1" t="n">
        <v>45828</v>
      </c>
      <c r="D2886" t="inlineStr">
        <is>
          <t>JÖNKÖPINGS LÄN</t>
        </is>
      </c>
      <c r="E2886" t="inlineStr">
        <is>
          <t>ANEBY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17712-2021</t>
        </is>
      </c>
      <c r="B2887" s="1" t="n">
        <v>44300</v>
      </c>
      <c r="C2887" s="1" t="n">
        <v>45828</v>
      </c>
      <c r="D2887" t="inlineStr">
        <is>
          <t>JÖNKÖPINGS LÄN</t>
        </is>
      </c>
      <c r="E2887" t="inlineStr">
        <is>
          <t>VETLANDA</t>
        </is>
      </c>
      <c r="G2887" t="n">
        <v>11.7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17837-2021</t>
        </is>
      </c>
      <c r="B2888" s="1" t="n">
        <v>44300</v>
      </c>
      <c r="C2888" s="1" t="n">
        <v>45828</v>
      </c>
      <c r="D2888" t="inlineStr">
        <is>
          <t>JÖNKÖPINGS LÄN</t>
        </is>
      </c>
      <c r="E2888" t="inlineStr">
        <is>
          <t>NÄSSJÖ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17950-2021</t>
        </is>
      </c>
      <c r="B2889" s="1" t="n">
        <v>44301</v>
      </c>
      <c r="C2889" s="1" t="n">
        <v>45828</v>
      </c>
      <c r="D2889" t="inlineStr">
        <is>
          <t>JÖNKÖPINGS LÄN</t>
        </is>
      </c>
      <c r="E2889" t="inlineStr">
        <is>
          <t>TRANÅS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17931-2021</t>
        </is>
      </c>
      <c r="B2890" s="1" t="n">
        <v>44301</v>
      </c>
      <c r="C2890" s="1" t="n">
        <v>45828</v>
      </c>
      <c r="D2890" t="inlineStr">
        <is>
          <t>JÖNKÖPINGS LÄN</t>
        </is>
      </c>
      <c r="E2890" t="inlineStr">
        <is>
          <t>VETLANDA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17974-2021</t>
        </is>
      </c>
      <c r="B2891" s="1" t="n">
        <v>44301</v>
      </c>
      <c r="C2891" s="1" t="n">
        <v>45828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17934-2021</t>
        </is>
      </c>
      <c r="B2892" s="1" t="n">
        <v>44301</v>
      </c>
      <c r="C2892" s="1" t="n">
        <v>45828</v>
      </c>
      <c r="D2892" t="inlineStr">
        <is>
          <t>JÖNKÖPINGS LÄN</t>
        </is>
      </c>
      <c r="E2892" t="inlineStr">
        <is>
          <t>VETLANDA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17964-2021</t>
        </is>
      </c>
      <c r="B2893" s="1" t="n">
        <v>44301</v>
      </c>
      <c r="C2893" s="1" t="n">
        <v>45828</v>
      </c>
      <c r="D2893" t="inlineStr">
        <is>
          <t>JÖNKÖPINGS LÄN</t>
        </is>
      </c>
      <c r="E2893" t="inlineStr">
        <is>
          <t>JÖNKÖPING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17976-2021</t>
        </is>
      </c>
      <c r="B2894" s="1" t="n">
        <v>44301</v>
      </c>
      <c r="C2894" s="1" t="n">
        <v>45828</v>
      </c>
      <c r="D2894" t="inlineStr">
        <is>
          <t>JÖNKÖPINGS LÄN</t>
        </is>
      </c>
      <c r="E2894" t="inlineStr">
        <is>
          <t>VETLANDA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17981-2021</t>
        </is>
      </c>
      <c r="B2895" s="1" t="n">
        <v>44301</v>
      </c>
      <c r="C2895" s="1" t="n">
        <v>45828</v>
      </c>
      <c r="D2895" t="inlineStr">
        <is>
          <t>JÖNKÖPINGS LÄN</t>
        </is>
      </c>
      <c r="E2895" t="inlineStr">
        <is>
          <t>ANEBY</t>
        </is>
      </c>
      <c r="F2895" t="inlineStr">
        <is>
          <t>Övriga Aktiebolag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17991-2021</t>
        </is>
      </c>
      <c r="B2896" s="1" t="n">
        <v>44301</v>
      </c>
      <c r="C2896" s="1" t="n">
        <v>45828</v>
      </c>
      <c r="D2896" t="inlineStr">
        <is>
          <t>JÖNKÖPINGS LÄN</t>
        </is>
      </c>
      <c r="E2896" t="inlineStr">
        <is>
          <t>VETLANDA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18085-2021</t>
        </is>
      </c>
      <c r="B2897" s="1" t="n">
        <v>44302</v>
      </c>
      <c r="C2897" s="1" t="n">
        <v>45828</v>
      </c>
      <c r="D2897" t="inlineStr">
        <is>
          <t>JÖNKÖPINGS LÄN</t>
        </is>
      </c>
      <c r="E2897" t="inlineStr">
        <is>
          <t>EKSJÖ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18031-2021</t>
        </is>
      </c>
      <c r="B2898" s="1" t="n">
        <v>44302</v>
      </c>
      <c r="C2898" s="1" t="n">
        <v>45828</v>
      </c>
      <c r="D2898" t="inlineStr">
        <is>
          <t>JÖNKÖPINGS LÄN</t>
        </is>
      </c>
      <c r="E2898" t="inlineStr">
        <is>
          <t>EKSJÖ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18131-2021</t>
        </is>
      </c>
      <c r="B2899" s="1" t="n">
        <v>44302</v>
      </c>
      <c r="C2899" s="1" t="n">
        <v>45828</v>
      </c>
      <c r="D2899" t="inlineStr">
        <is>
          <t>JÖNKÖPINGS LÄN</t>
        </is>
      </c>
      <c r="E2899" t="inlineStr">
        <is>
          <t>GISLAVED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18098-2021</t>
        </is>
      </c>
      <c r="B2900" s="1" t="n">
        <v>44302</v>
      </c>
      <c r="C2900" s="1" t="n">
        <v>45828</v>
      </c>
      <c r="D2900" t="inlineStr">
        <is>
          <t>JÖNKÖPINGS LÄN</t>
        </is>
      </c>
      <c r="E2900" t="inlineStr">
        <is>
          <t>GISLAVED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18271-2021</t>
        </is>
      </c>
      <c r="B2901" s="1" t="n">
        <v>44305</v>
      </c>
      <c r="C2901" s="1" t="n">
        <v>45828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18301-2021</t>
        </is>
      </c>
      <c r="B2902" s="1" t="n">
        <v>44305</v>
      </c>
      <c r="C2902" s="1" t="n">
        <v>45828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18503-2021</t>
        </is>
      </c>
      <c r="B2903" s="1" t="n">
        <v>44306</v>
      </c>
      <c r="C2903" s="1" t="n">
        <v>45828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18651-2021</t>
        </is>
      </c>
      <c r="B2904" s="1" t="n">
        <v>44306</v>
      </c>
      <c r="C2904" s="1" t="n">
        <v>45828</v>
      </c>
      <c r="D2904" t="inlineStr">
        <is>
          <t>JÖNKÖPINGS LÄN</t>
        </is>
      </c>
      <c r="E2904" t="inlineStr">
        <is>
          <t>JÖNKÖPING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18479-2021</t>
        </is>
      </c>
      <c r="B2905" s="1" t="n">
        <v>44306</v>
      </c>
      <c r="C2905" s="1" t="n">
        <v>45828</v>
      </c>
      <c r="D2905" t="inlineStr">
        <is>
          <t>JÖNKÖPINGS LÄN</t>
        </is>
      </c>
      <c r="E2905" t="inlineStr">
        <is>
          <t>EKSJÖ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18506-2021</t>
        </is>
      </c>
      <c r="B2906" s="1" t="n">
        <v>44306</v>
      </c>
      <c r="C2906" s="1" t="n">
        <v>45828</v>
      </c>
      <c r="D2906" t="inlineStr">
        <is>
          <t>JÖNKÖPINGS LÄN</t>
        </is>
      </c>
      <c r="E2906" t="inlineStr">
        <is>
          <t>VETLANDA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19017-2021</t>
        </is>
      </c>
      <c r="B2907" s="1" t="n">
        <v>44308</v>
      </c>
      <c r="C2907" s="1" t="n">
        <v>45828</v>
      </c>
      <c r="D2907" t="inlineStr">
        <is>
          <t>JÖNKÖPINGS LÄN</t>
        </is>
      </c>
      <c r="E2907" t="inlineStr">
        <is>
          <t>SÄVSJÖ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19046-2021</t>
        </is>
      </c>
      <c r="B2908" s="1" t="n">
        <v>44308</v>
      </c>
      <c r="C2908" s="1" t="n">
        <v>45828</v>
      </c>
      <c r="D2908" t="inlineStr">
        <is>
          <t>JÖNKÖPINGS LÄN</t>
        </is>
      </c>
      <c r="E2908" t="inlineStr">
        <is>
          <t>VAGGERYD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19092-2021</t>
        </is>
      </c>
      <c r="B2909" s="1" t="n">
        <v>44308</v>
      </c>
      <c r="C2909" s="1" t="n">
        <v>45828</v>
      </c>
      <c r="D2909" t="inlineStr">
        <is>
          <t>JÖNKÖPINGS LÄN</t>
        </is>
      </c>
      <c r="E2909" t="inlineStr">
        <is>
          <t>GISLAVED</t>
        </is>
      </c>
      <c r="F2909" t="inlineStr">
        <is>
          <t>Sveaskog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19039-2021</t>
        </is>
      </c>
      <c r="B2910" s="1" t="n">
        <v>44308</v>
      </c>
      <c r="C2910" s="1" t="n">
        <v>45828</v>
      </c>
      <c r="D2910" t="inlineStr">
        <is>
          <t>JÖNKÖPINGS LÄN</t>
        </is>
      </c>
      <c r="E2910" t="inlineStr">
        <is>
          <t>JÖNKÖPING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19040-2021</t>
        </is>
      </c>
      <c r="B2911" s="1" t="n">
        <v>44308</v>
      </c>
      <c r="C2911" s="1" t="n">
        <v>45828</v>
      </c>
      <c r="D2911" t="inlineStr">
        <is>
          <t>JÖNKÖPINGS LÄN</t>
        </is>
      </c>
      <c r="E2911" t="inlineStr">
        <is>
          <t>JÖNKÖPING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19126-2021</t>
        </is>
      </c>
      <c r="B2912" s="1" t="n">
        <v>44308</v>
      </c>
      <c r="C2912" s="1" t="n">
        <v>45828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19163-2021</t>
        </is>
      </c>
      <c r="B2913" s="1" t="n">
        <v>44308</v>
      </c>
      <c r="C2913" s="1" t="n">
        <v>45828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19121-2021</t>
        </is>
      </c>
      <c r="B2914" s="1" t="n">
        <v>44308</v>
      </c>
      <c r="C2914" s="1" t="n">
        <v>45828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19165-2021</t>
        </is>
      </c>
      <c r="B2915" s="1" t="n">
        <v>44308</v>
      </c>
      <c r="C2915" s="1" t="n">
        <v>45828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19188-2021</t>
        </is>
      </c>
      <c r="B2916" s="1" t="n">
        <v>44308</v>
      </c>
      <c r="C2916" s="1" t="n">
        <v>45828</v>
      </c>
      <c r="D2916" t="inlineStr">
        <is>
          <t>JÖNKÖPINGS LÄN</t>
        </is>
      </c>
      <c r="E2916" t="inlineStr">
        <is>
          <t>VETLANDA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19353-2021</t>
        </is>
      </c>
      <c r="B2917" s="1" t="n">
        <v>44309</v>
      </c>
      <c r="C2917" s="1" t="n">
        <v>45828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19356-2021</t>
        </is>
      </c>
      <c r="B2918" s="1" t="n">
        <v>44309</v>
      </c>
      <c r="C2918" s="1" t="n">
        <v>45828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19316-2021</t>
        </is>
      </c>
      <c r="B2919" s="1" t="n">
        <v>44309</v>
      </c>
      <c r="C2919" s="1" t="n">
        <v>45828</v>
      </c>
      <c r="D2919" t="inlineStr">
        <is>
          <t>JÖNKÖPINGS LÄN</t>
        </is>
      </c>
      <c r="E2919" t="inlineStr">
        <is>
          <t>EKSJÖ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19852-2021</t>
        </is>
      </c>
      <c r="B2920" s="1" t="n">
        <v>44309</v>
      </c>
      <c r="C2920" s="1" t="n">
        <v>45828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Kyrkan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19354-2021</t>
        </is>
      </c>
      <c r="B2921" s="1" t="n">
        <v>44309</v>
      </c>
      <c r="C2921" s="1" t="n">
        <v>45828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19471-2021</t>
        </is>
      </c>
      <c r="B2922" s="1" t="n">
        <v>44311</v>
      </c>
      <c r="C2922" s="1" t="n">
        <v>45828</v>
      </c>
      <c r="D2922" t="inlineStr">
        <is>
          <t>JÖNKÖPINGS LÄN</t>
        </is>
      </c>
      <c r="E2922" t="inlineStr">
        <is>
          <t>EKSJÖ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19654-2021</t>
        </is>
      </c>
      <c r="B2923" s="1" t="n">
        <v>44312</v>
      </c>
      <c r="C2923" s="1" t="n">
        <v>45828</v>
      </c>
      <c r="D2923" t="inlineStr">
        <is>
          <t>JÖNKÖPINGS LÄN</t>
        </is>
      </c>
      <c r="E2923" t="inlineStr">
        <is>
          <t>GNOSJÖ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19750-2021</t>
        </is>
      </c>
      <c r="B2924" s="1" t="n">
        <v>44313</v>
      </c>
      <c r="C2924" s="1" t="n">
        <v>45828</v>
      </c>
      <c r="D2924" t="inlineStr">
        <is>
          <t>JÖNKÖPINGS LÄN</t>
        </is>
      </c>
      <c r="E2924" t="inlineStr">
        <is>
          <t>VÄRNAMO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20689-2021</t>
        </is>
      </c>
      <c r="B2925" s="1" t="n">
        <v>44313</v>
      </c>
      <c r="C2925" s="1" t="n">
        <v>45828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20007-2021</t>
        </is>
      </c>
      <c r="B2926" s="1" t="n">
        <v>44313</v>
      </c>
      <c r="C2926" s="1" t="n">
        <v>45828</v>
      </c>
      <c r="D2926" t="inlineStr">
        <is>
          <t>JÖNKÖPINGS LÄN</t>
        </is>
      </c>
      <c r="E2926" t="inlineStr">
        <is>
          <t>NÄSSJÖ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20686-2021</t>
        </is>
      </c>
      <c r="B2927" s="1" t="n">
        <v>44313</v>
      </c>
      <c r="C2927" s="1" t="n">
        <v>45828</v>
      </c>
      <c r="D2927" t="inlineStr">
        <is>
          <t>JÖNKÖPINGS LÄN</t>
        </is>
      </c>
      <c r="E2927" t="inlineStr">
        <is>
          <t>VAGGERYD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20693-2021</t>
        </is>
      </c>
      <c r="B2928" s="1" t="n">
        <v>44313</v>
      </c>
      <c r="C2928" s="1" t="n">
        <v>45828</v>
      </c>
      <c r="D2928" t="inlineStr">
        <is>
          <t>JÖNKÖPINGS LÄN</t>
        </is>
      </c>
      <c r="E2928" t="inlineStr">
        <is>
          <t>VAGGERYD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20761-2021</t>
        </is>
      </c>
      <c r="B2929" s="1" t="n">
        <v>44313</v>
      </c>
      <c r="C2929" s="1" t="n">
        <v>45828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20687-2021</t>
        </is>
      </c>
      <c r="B2930" s="1" t="n">
        <v>44313</v>
      </c>
      <c r="C2930" s="1" t="n">
        <v>45828</v>
      </c>
      <c r="D2930" t="inlineStr">
        <is>
          <t>JÖNKÖPINGS LÄN</t>
        </is>
      </c>
      <c r="E2930" t="inlineStr">
        <is>
          <t>VAGGERYD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20694-2021</t>
        </is>
      </c>
      <c r="B2931" s="1" t="n">
        <v>44313</v>
      </c>
      <c r="C2931" s="1" t="n">
        <v>45828</v>
      </c>
      <c r="D2931" t="inlineStr">
        <is>
          <t>JÖNKÖPINGS LÄN</t>
        </is>
      </c>
      <c r="E2931" t="inlineStr">
        <is>
          <t>VAGGERYD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20765-2021</t>
        </is>
      </c>
      <c r="B2932" s="1" t="n">
        <v>44313</v>
      </c>
      <c r="C2932" s="1" t="n">
        <v>45828</v>
      </c>
      <c r="D2932" t="inlineStr">
        <is>
          <t>JÖNKÖPINGS LÄN</t>
        </is>
      </c>
      <c r="E2932" t="inlineStr">
        <is>
          <t>VETLANDA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20063-2021</t>
        </is>
      </c>
      <c r="B2933" s="1" t="n">
        <v>44313</v>
      </c>
      <c r="C2933" s="1" t="n">
        <v>45828</v>
      </c>
      <c r="D2933" t="inlineStr">
        <is>
          <t>JÖNKÖPINGS LÄN</t>
        </is>
      </c>
      <c r="E2933" t="inlineStr">
        <is>
          <t>VAGGERYD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20496-2021</t>
        </is>
      </c>
      <c r="B2934" s="1" t="n">
        <v>44313</v>
      </c>
      <c r="C2934" s="1" t="n">
        <v>45828</v>
      </c>
      <c r="D2934" t="inlineStr">
        <is>
          <t>JÖNKÖPINGS LÄN</t>
        </is>
      </c>
      <c r="E2934" t="inlineStr">
        <is>
          <t>VETLANDA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20680-2021</t>
        </is>
      </c>
      <c r="B2935" s="1" t="n">
        <v>44313</v>
      </c>
      <c r="C2935" s="1" t="n">
        <v>45828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20691-2021</t>
        </is>
      </c>
      <c r="B2936" s="1" t="n">
        <v>44313</v>
      </c>
      <c r="C2936" s="1" t="n">
        <v>45828</v>
      </c>
      <c r="D2936" t="inlineStr">
        <is>
          <t>JÖNKÖPINGS LÄN</t>
        </is>
      </c>
      <c r="E2936" t="inlineStr">
        <is>
          <t>VAGGERYD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20759-2021</t>
        </is>
      </c>
      <c r="B2937" s="1" t="n">
        <v>44313</v>
      </c>
      <c r="C2937" s="1" t="n">
        <v>45828</v>
      </c>
      <c r="D2937" t="inlineStr">
        <is>
          <t>JÖNKÖPINGS LÄN</t>
        </is>
      </c>
      <c r="E2937" t="inlineStr">
        <is>
          <t>VETLANDA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20128-2021</t>
        </is>
      </c>
      <c r="B2938" s="1" t="n">
        <v>44314</v>
      </c>
      <c r="C2938" s="1" t="n">
        <v>45828</v>
      </c>
      <c r="D2938" t="inlineStr">
        <is>
          <t>JÖNKÖPINGS LÄN</t>
        </is>
      </c>
      <c r="E2938" t="inlineStr">
        <is>
          <t>ANEBY</t>
        </is>
      </c>
      <c r="F2938" t="inlineStr">
        <is>
          <t>Övriga Aktiebolag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20075-2021</t>
        </is>
      </c>
      <c r="B2939" s="1" t="n">
        <v>44314</v>
      </c>
      <c r="C2939" s="1" t="n">
        <v>45828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20156-2021</t>
        </is>
      </c>
      <c r="B2940" s="1" t="n">
        <v>44314</v>
      </c>
      <c r="C2940" s="1" t="n">
        <v>45828</v>
      </c>
      <c r="D2940" t="inlineStr">
        <is>
          <t>JÖNKÖPINGS LÄN</t>
        </is>
      </c>
      <c r="E2940" t="inlineStr">
        <is>
          <t>VAGGERYD</t>
        </is>
      </c>
      <c r="G2940" t="n">
        <v>12.2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20135-2021</t>
        </is>
      </c>
      <c r="B2941" s="1" t="n">
        <v>44314</v>
      </c>
      <c r="C2941" s="1" t="n">
        <v>45828</v>
      </c>
      <c r="D2941" t="inlineStr">
        <is>
          <t>JÖNKÖPINGS LÄN</t>
        </is>
      </c>
      <c r="E2941" t="inlineStr">
        <is>
          <t>VETLANDA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20280-2021</t>
        </is>
      </c>
      <c r="B2942" s="1" t="n">
        <v>44314</v>
      </c>
      <c r="C2942" s="1" t="n">
        <v>45828</v>
      </c>
      <c r="D2942" t="inlineStr">
        <is>
          <t>JÖNKÖPINGS LÄN</t>
        </is>
      </c>
      <c r="E2942" t="inlineStr">
        <is>
          <t>NÄSSJÖ</t>
        </is>
      </c>
      <c r="G2942" t="n">
        <v>0.1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20378-2021</t>
        </is>
      </c>
      <c r="B2943" s="1" t="n">
        <v>44315</v>
      </c>
      <c r="C2943" s="1" t="n">
        <v>45828</v>
      </c>
      <c r="D2943" t="inlineStr">
        <is>
          <t>JÖNKÖPINGS LÄN</t>
        </is>
      </c>
      <c r="E2943" t="inlineStr">
        <is>
          <t>VETLANDA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20573-2021</t>
        </is>
      </c>
      <c r="B2944" s="1" t="n">
        <v>44315</v>
      </c>
      <c r="C2944" s="1" t="n">
        <v>45828</v>
      </c>
      <c r="D2944" t="inlineStr">
        <is>
          <t>JÖNKÖPINGS LÄN</t>
        </is>
      </c>
      <c r="E2944" t="inlineStr">
        <is>
          <t>VÄRNAMO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20352-2021</t>
        </is>
      </c>
      <c r="B2945" s="1" t="n">
        <v>44315</v>
      </c>
      <c r="C2945" s="1" t="n">
        <v>45828</v>
      </c>
      <c r="D2945" t="inlineStr">
        <is>
          <t>JÖNKÖPINGS LÄN</t>
        </is>
      </c>
      <c r="E2945" t="inlineStr">
        <is>
          <t>SÄVSJÖ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20582-2021</t>
        </is>
      </c>
      <c r="B2946" s="1" t="n">
        <v>44315</v>
      </c>
      <c r="C2946" s="1" t="n">
        <v>45828</v>
      </c>
      <c r="D2946" t="inlineStr">
        <is>
          <t>JÖNKÖPINGS LÄN</t>
        </is>
      </c>
      <c r="E2946" t="inlineStr">
        <is>
          <t>VÄRNAMO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20386-2021</t>
        </is>
      </c>
      <c r="B2947" s="1" t="n">
        <v>44315</v>
      </c>
      <c r="C2947" s="1" t="n">
        <v>45828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20456-2021</t>
        </is>
      </c>
      <c r="B2948" s="1" t="n">
        <v>44315</v>
      </c>
      <c r="C2948" s="1" t="n">
        <v>45828</v>
      </c>
      <c r="D2948" t="inlineStr">
        <is>
          <t>JÖNKÖPINGS LÄN</t>
        </is>
      </c>
      <c r="E2948" t="inlineStr">
        <is>
          <t>VÄRNAMO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20614-2021</t>
        </is>
      </c>
      <c r="B2949" s="1" t="n">
        <v>44316</v>
      </c>
      <c r="C2949" s="1" t="n">
        <v>45828</v>
      </c>
      <c r="D2949" t="inlineStr">
        <is>
          <t>JÖNKÖPINGS LÄN</t>
        </is>
      </c>
      <c r="E2949" t="inlineStr">
        <is>
          <t>VETLANDA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20619-2021</t>
        </is>
      </c>
      <c r="B2950" s="1" t="n">
        <v>44316</v>
      </c>
      <c r="C2950" s="1" t="n">
        <v>45828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20724-2021</t>
        </is>
      </c>
      <c r="B2951" s="1" t="n">
        <v>44316</v>
      </c>
      <c r="C2951" s="1" t="n">
        <v>45828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20610-2021</t>
        </is>
      </c>
      <c r="B2952" s="1" t="n">
        <v>44316</v>
      </c>
      <c r="C2952" s="1" t="n">
        <v>45828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20796-2021</t>
        </is>
      </c>
      <c r="B2953" s="1" t="n">
        <v>44316</v>
      </c>
      <c r="C2953" s="1" t="n">
        <v>45828</v>
      </c>
      <c r="D2953" t="inlineStr">
        <is>
          <t>JÖNKÖPINGS LÄN</t>
        </is>
      </c>
      <c r="E2953" t="inlineStr">
        <is>
          <t>VETLANDA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21040-2021</t>
        </is>
      </c>
      <c r="B2954" s="1" t="n">
        <v>44319</v>
      </c>
      <c r="C2954" s="1" t="n">
        <v>45828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20840-2021</t>
        </is>
      </c>
      <c r="B2955" s="1" t="n">
        <v>44319</v>
      </c>
      <c r="C2955" s="1" t="n">
        <v>45828</v>
      </c>
      <c r="D2955" t="inlineStr">
        <is>
          <t>JÖNKÖPINGS LÄN</t>
        </is>
      </c>
      <c r="E2955" t="inlineStr">
        <is>
          <t>GISLAVED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20979-2021</t>
        </is>
      </c>
      <c r="B2956" s="1" t="n">
        <v>44319</v>
      </c>
      <c r="C2956" s="1" t="n">
        <v>45828</v>
      </c>
      <c r="D2956" t="inlineStr">
        <is>
          <t>JÖNKÖPINGS LÄN</t>
        </is>
      </c>
      <c r="E2956" t="inlineStr">
        <is>
          <t>EKSJÖ</t>
        </is>
      </c>
      <c r="F2956" t="inlineStr">
        <is>
          <t>Sveaskog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21022-2021</t>
        </is>
      </c>
      <c r="B2957" s="1" t="n">
        <v>44319</v>
      </c>
      <c r="C2957" s="1" t="n">
        <v>45828</v>
      </c>
      <c r="D2957" t="inlineStr">
        <is>
          <t>JÖNKÖPINGS LÄN</t>
        </is>
      </c>
      <c r="E2957" t="inlineStr">
        <is>
          <t>VETLANDA</t>
        </is>
      </c>
      <c r="G2957" t="n">
        <v>6.8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21807-2021</t>
        </is>
      </c>
      <c r="B2958" s="1" t="n">
        <v>44319</v>
      </c>
      <c r="C2958" s="1" t="n">
        <v>45828</v>
      </c>
      <c r="D2958" t="inlineStr">
        <is>
          <t>JÖNKÖPINGS LÄN</t>
        </is>
      </c>
      <c r="E2958" t="inlineStr">
        <is>
          <t>VÄRNAMO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21208-2021</t>
        </is>
      </c>
      <c r="B2959" s="1" t="n">
        <v>44320</v>
      </c>
      <c r="C2959" s="1" t="n">
        <v>45828</v>
      </c>
      <c r="D2959" t="inlineStr">
        <is>
          <t>JÖNKÖPINGS LÄN</t>
        </is>
      </c>
      <c r="E2959" t="inlineStr">
        <is>
          <t>VÄRNAMO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21290-2021</t>
        </is>
      </c>
      <c r="B2960" s="1" t="n">
        <v>44320</v>
      </c>
      <c r="C2960" s="1" t="n">
        <v>45828</v>
      </c>
      <c r="D2960" t="inlineStr">
        <is>
          <t>JÖNKÖPINGS LÄN</t>
        </is>
      </c>
      <c r="E2960" t="inlineStr">
        <is>
          <t>VETLANDA</t>
        </is>
      </c>
      <c r="G2960" t="n">
        <v>5.6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21125-2021</t>
        </is>
      </c>
      <c r="B2961" s="1" t="n">
        <v>44320</v>
      </c>
      <c r="C2961" s="1" t="n">
        <v>45828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21160-2021</t>
        </is>
      </c>
      <c r="B2962" s="1" t="n">
        <v>44320</v>
      </c>
      <c r="C2962" s="1" t="n">
        <v>45828</v>
      </c>
      <c r="D2962" t="inlineStr">
        <is>
          <t>JÖNKÖPINGS LÄN</t>
        </is>
      </c>
      <c r="E2962" t="inlineStr">
        <is>
          <t>EKSJÖ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21205-2021</t>
        </is>
      </c>
      <c r="B2963" s="1" t="n">
        <v>44320</v>
      </c>
      <c r="C2963" s="1" t="n">
        <v>45828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21412-2021</t>
        </is>
      </c>
      <c r="B2964" s="1" t="n">
        <v>44321</v>
      </c>
      <c r="C2964" s="1" t="n">
        <v>45828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21383-2021</t>
        </is>
      </c>
      <c r="B2965" s="1" t="n">
        <v>44321</v>
      </c>
      <c r="C2965" s="1" t="n">
        <v>45828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21385-2021</t>
        </is>
      </c>
      <c r="B2966" s="1" t="n">
        <v>44321</v>
      </c>
      <c r="C2966" s="1" t="n">
        <v>45828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21396-2021</t>
        </is>
      </c>
      <c r="B2967" s="1" t="n">
        <v>44321</v>
      </c>
      <c r="C2967" s="1" t="n">
        <v>45828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21574-2021</t>
        </is>
      </c>
      <c r="B2968" s="1" t="n">
        <v>44321</v>
      </c>
      <c r="C2968" s="1" t="n">
        <v>45828</v>
      </c>
      <c r="D2968" t="inlineStr">
        <is>
          <t>JÖNKÖPINGS LÄN</t>
        </is>
      </c>
      <c r="E2968" t="inlineStr">
        <is>
          <t>VETLANDA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21579-2021</t>
        </is>
      </c>
      <c r="B2969" s="1" t="n">
        <v>44321</v>
      </c>
      <c r="C2969" s="1" t="n">
        <v>45828</v>
      </c>
      <c r="D2969" t="inlineStr">
        <is>
          <t>JÖNKÖPINGS LÄN</t>
        </is>
      </c>
      <c r="E2969" t="inlineStr">
        <is>
          <t>VETLANDA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21621-2021</t>
        </is>
      </c>
      <c r="B2970" s="1" t="n">
        <v>44321</v>
      </c>
      <c r="C2970" s="1" t="n">
        <v>45828</v>
      </c>
      <c r="D2970" t="inlineStr">
        <is>
          <t>JÖNKÖPINGS LÄN</t>
        </is>
      </c>
      <c r="E2970" t="inlineStr">
        <is>
          <t>VAGGERYD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21805-2021</t>
        </is>
      </c>
      <c r="B2971" s="1" t="n">
        <v>44322</v>
      </c>
      <c r="C2971" s="1" t="n">
        <v>45828</v>
      </c>
      <c r="D2971" t="inlineStr">
        <is>
          <t>JÖNKÖPINGS LÄN</t>
        </is>
      </c>
      <c r="E2971" t="inlineStr">
        <is>
          <t>VÄRNAMO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21700-2021</t>
        </is>
      </c>
      <c r="B2972" s="1" t="n">
        <v>44322</v>
      </c>
      <c r="C2972" s="1" t="n">
        <v>45828</v>
      </c>
      <c r="D2972" t="inlineStr">
        <is>
          <t>JÖNKÖPINGS LÄN</t>
        </is>
      </c>
      <c r="E2972" t="inlineStr">
        <is>
          <t>GISLAVED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21866-2021</t>
        </is>
      </c>
      <c r="B2973" s="1" t="n">
        <v>44322</v>
      </c>
      <c r="C2973" s="1" t="n">
        <v>45828</v>
      </c>
      <c r="D2973" t="inlineStr">
        <is>
          <t>JÖNKÖPINGS LÄN</t>
        </is>
      </c>
      <c r="E2973" t="inlineStr">
        <is>
          <t>VAGGERYD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21895-2021</t>
        </is>
      </c>
      <c r="B2974" s="1" t="n">
        <v>44322</v>
      </c>
      <c r="C2974" s="1" t="n">
        <v>45828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22030-2021</t>
        </is>
      </c>
      <c r="B2975" s="1" t="n">
        <v>44322</v>
      </c>
      <c r="C2975" s="1" t="n">
        <v>45828</v>
      </c>
      <c r="D2975" t="inlineStr">
        <is>
          <t>JÖNKÖPINGS LÄN</t>
        </is>
      </c>
      <c r="E2975" t="inlineStr">
        <is>
          <t>VETLANDA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22110-2021</t>
        </is>
      </c>
      <c r="B2976" s="1" t="n">
        <v>44323</v>
      </c>
      <c r="C2976" s="1" t="n">
        <v>45828</v>
      </c>
      <c r="D2976" t="inlineStr">
        <is>
          <t>JÖNKÖPINGS LÄN</t>
        </is>
      </c>
      <c r="E2976" t="inlineStr">
        <is>
          <t>MULLSJÖ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21998-2021</t>
        </is>
      </c>
      <c r="B2977" s="1" t="n">
        <v>44323</v>
      </c>
      <c r="C2977" s="1" t="n">
        <v>45828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22676-2021</t>
        </is>
      </c>
      <c r="B2978" s="1" t="n">
        <v>44323</v>
      </c>
      <c r="C2978" s="1" t="n">
        <v>45828</v>
      </c>
      <c r="D2978" t="inlineStr">
        <is>
          <t>JÖNKÖPINGS LÄN</t>
        </is>
      </c>
      <c r="E2978" t="inlineStr">
        <is>
          <t>GISLAVED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22090-2021</t>
        </is>
      </c>
      <c r="B2979" s="1" t="n">
        <v>44323</v>
      </c>
      <c r="C2979" s="1" t="n">
        <v>45828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22150-2021</t>
        </is>
      </c>
      <c r="B2980" s="1" t="n">
        <v>44324</v>
      </c>
      <c r="C2980" s="1" t="n">
        <v>45828</v>
      </c>
      <c r="D2980" t="inlineStr">
        <is>
          <t>JÖNKÖPINGS LÄN</t>
        </is>
      </c>
      <c r="E2980" t="inlineStr">
        <is>
          <t>EKSJÖ</t>
        </is>
      </c>
      <c r="F2980" t="inlineStr">
        <is>
          <t>Kyrkan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22164-2021</t>
        </is>
      </c>
      <c r="B2981" s="1" t="n">
        <v>44325</v>
      </c>
      <c r="C2981" s="1" t="n">
        <v>45828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22166-2021</t>
        </is>
      </c>
      <c r="B2982" s="1" t="n">
        <v>44325</v>
      </c>
      <c r="C2982" s="1" t="n">
        <v>45828</v>
      </c>
      <c r="D2982" t="inlineStr">
        <is>
          <t>JÖNKÖPINGS LÄN</t>
        </is>
      </c>
      <c r="E2982" t="inlineStr">
        <is>
          <t>VETLANDA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22168-2021</t>
        </is>
      </c>
      <c r="B2983" s="1" t="n">
        <v>44325</v>
      </c>
      <c r="C2983" s="1" t="n">
        <v>45828</v>
      </c>
      <c r="D2983" t="inlineStr">
        <is>
          <t>JÖNKÖPINGS LÄN</t>
        </is>
      </c>
      <c r="E2983" t="inlineStr">
        <is>
          <t>JÖNKÖPING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22285-2021</t>
        </is>
      </c>
      <c r="B2984" s="1" t="n">
        <v>44326</v>
      </c>
      <c r="C2984" s="1" t="n">
        <v>45828</v>
      </c>
      <c r="D2984" t="inlineStr">
        <is>
          <t>JÖNKÖPINGS LÄN</t>
        </is>
      </c>
      <c r="E2984" t="inlineStr">
        <is>
          <t>ANEBY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22232-2021</t>
        </is>
      </c>
      <c r="B2985" s="1" t="n">
        <v>44326</v>
      </c>
      <c r="C2985" s="1" t="n">
        <v>45828</v>
      </c>
      <c r="D2985" t="inlineStr">
        <is>
          <t>JÖNKÖPINGS LÄN</t>
        </is>
      </c>
      <c r="E2985" t="inlineStr">
        <is>
          <t>ANEBY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22427-2021</t>
        </is>
      </c>
      <c r="B2986" s="1" t="n">
        <v>44326</v>
      </c>
      <c r="C2986" s="1" t="n">
        <v>45828</v>
      </c>
      <c r="D2986" t="inlineStr">
        <is>
          <t>JÖNKÖPINGS LÄN</t>
        </is>
      </c>
      <c r="E2986" t="inlineStr">
        <is>
          <t>VETLANDA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22603-2021</t>
        </is>
      </c>
      <c r="B2987" s="1" t="n">
        <v>44326</v>
      </c>
      <c r="C2987" s="1" t="n">
        <v>45828</v>
      </c>
      <c r="D2987" t="inlineStr">
        <is>
          <t>JÖNKÖPINGS LÄN</t>
        </is>
      </c>
      <c r="E2987" t="inlineStr">
        <is>
          <t>JÖNKÖPING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22574-2021</t>
        </is>
      </c>
      <c r="B2988" s="1" t="n">
        <v>44327</v>
      </c>
      <c r="C2988" s="1" t="n">
        <v>45828</v>
      </c>
      <c r="D2988" t="inlineStr">
        <is>
          <t>JÖNKÖPINGS LÄN</t>
        </is>
      </c>
      <c r="E2988" t="inlineStr">
        <is>
          <t>VÄRNAMO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22556-2021</t>
        </is>
      </c>
      <c r="B2989" s="1" t="n">
        <v>44327</v>
      </c>
      <c r="C2989" s="1" t="n">
        <v>45828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22702-2021</t>
        </is>
      </c>
      <c r="B2990" s="1" t="n">
        <v>44327</v>
      </c>
      <c r="C2990" s="1" t="n">
        <v>45828</v>
      </c>
      <c r="D2990" t="inlineStr">
        <is>
          <t>JÖNKÖPINGS LÄN</t>
        </is>
      </c>
      <c r="E2990" t="inlineStr">
        <is>
          <t>VAGGERYD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22746-2021</t>
        </is>
      </c>
      <c r="B2991" s="1" t="n">
        <v>44327</v>
      </c>
      <c r="C2991" s="1" t="n">
        <v>45828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22749-2021</t>
        </is>
      </c>
      <c r="B2992" s="1" t="n">
        <v>44327</v>
      </c>
      <c r="C2992" s="1" t="n">
        <v>45828</v>
      </c>
      <c r="D2992" t="inlineStr">
        <is>
          <t>JÖNKÖPINGS LÄN</t>
        </is>
      </c>
      <c r="E2992" t="inlineStr">
        <is>
          <t>VETLANDA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22797-2021</t>
        </is>
      </c>
      <c r="B2993" s="1" t="n">
        <v>44327</v>
      </c>
      <c r="C2993" s="1" t="n">
        <v>45828</v>
      </c>
      <c r="D2993" t="inlineStr">
        <is>
          <t>JÖNKÖPINGS LÄN</t>
        </is>
      </c>
      <c r="E2993" t="inlineStr">
        <is>
          <t>ANEBY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22796-2021</t>
        </is>
      </c>
      <c r="B2994" s="1" t="n">
        <v>44327</v>
      </c>
      <c r="C2994" s="1" t="n">
        <v>45828</v>
      </c>
      <c r="D2994" t="inlineStr">
        <is>
          <t>JÖNKÖPINGS LÄN</t>
        </is>
      </c>
      <c r="E2994" t="inlineStr">
        <is>
          <t>ANEBY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22828-2021</t>
        </is>
      </c>
      <c r="B2995" s="1" t="n">
        <v>44328</v>
      </c>
      <c r="C2995" s="1" t="n">
        <v>45828</v>
      </c>
      <c r="D2995" t="inlineStr">
        <is>
          <t>JÖNKÖPINGS LÄN</t>
        </is>
      </c>
      <c r="E2995" t="inlineStr">
        <is>
          <t>GISLAVED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23007-2021</t>
        </is>
      </c>
      <c r="B2996" s="1" t="n">
        <v>44328</v>
      </c>
      <c r="C2996" s="1" t="n">
        <v>45828</v>
      </c>
      <c r="D2996" t="inlineStr">
        <is>
          <t>JÖNKÖPINGS LÄN</t>
        </is>
      </c>
      <c r="E2996" t="inlineStr">
        <is>
          <t>EKSJÖ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22818-2021</t>
        </is>
      </c>
      <c r="B2997" s="1" t="n">
        <v>44328</v>
      </c>
      <c r="C2997" s="1" t="n">
        <v>45828</v>
      </c>
      <c r="D2997" t="inlineStr">
        <is>
          <t>JÖNKÖPINGS LÄN</t>
        </is>
      </c>
      <c r="E2997" t="inlineStr">
        <is>
          <t>JÖNKÖPING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23084-2021</t>
        </is>
      </c>
      <c r="B2998" s="1" t="n">
        <v>44330</v>
      </c>
      <c r="C2998" s="1" t="n">
        <v>45828</v>
      </c>
      <c r="D2998" t="inlineStr">
        <is>
          <t>JÖNKÖPINGS LÄN</t>
        </is>
      </c>
      <c r="E2998" t="inlineStr">
        <is>
          <t>NÄSSJÖ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23147-2021</t>
        </is>
      </c>
      <c r="B2999" s="1" t="n">
        <v>44331</v>
      </c>
      <c r="C2999" s="1" t="n">
        <v>45828</v>
      </c>
      <c r="D2999" t="inlineStr">
        <is>
          <t>JÖNKÖPINGS LÄN</t>
        </is>
      </c>
      <c r="E2999" t="inlineStr">
        <is>
          <t>NÄSSJÖ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23168-2021</t>
        </is>
      </c>
      <c r="B3000" s="1" t="n">
        <v>44333</v>
      </c>
      <c r="C3000" s="1" t="n">
        <v>45828</v>
      </c>
      <c r="D3000" t="inlineStr">
        <is>
          <t>JÖNKÖPINGS LÄN</t>
        </is>
      </c>
      <c r="E3000" t="inlineStr">
        <is>
          <t>VÄRNAMO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23202-2021</t>
        </is>
      </c>
      <c r="B3001" s="1" t="n">
        <v>44333</v>
      </c>
      <c r="C3001" s="1" t="n">
        <v>45828</v>
      </c>
      <c r="D3001" t="inlineStr">
        <is>
          <t>JÖNKÖPINGS LÄN</t>
        </is>
      </c>
      <c r="E3001" t="inlineStr">
        <is>
          <t>GISLAVED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23203-2021</t>
        </is>
      </c>
      <c r="B3002" s="1" t="n">
        <v>44333</v>
      </c>
      <c r="C3002" s="1" t="n">
        <v>45828</v>
      </c>
      <c r="D3002" t="inlineStr">
        <is>
          <t>JÖNKÖPINGS LÄN</t>
        </is>
      </c>
      <c r="E3002" t="inlineStr">
        <is>
          <t>GISLAVED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23392-2021</t>
        </is>
      </c>
      <c r="B3003" s="1" t="n">
        <v>44333</v>
      </c>
      <c r="C3003" s="1" t="n">
        <v>45828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23625-2021</t>
        </is>
      </c>
      <c r="B3004" s="1" t="n">
        <v>44334</v>
      </c>
      <c r="C3004" s="1" t="n">
        <v>45828</v>
      </c>
      <c r="D3004" t="inlineStr">
        <is>
          <t>JÖNKÖPINGS LÄN</t>
        </is>
      </c>
      <c r="E3004" t="inlineStr">
        <is>
          <t>HABO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23708-2021</t>
        </is>
      </c>
      <c r="B3005" s="1" t="n">
        <v>44334</v>
      </c>
      <c r="C3005" s="1" t="n">
        <v>45828</v>
      </c>
      <c r="D3005" t="inlineStr">
        <is>
          <t>JÖNKÖPINGS LÄN</t>
        </is>
      </c>
      <c r="E3005" t="inlineStr">
        <is>
          <t>VETLANDA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23704-2021</t>
        </is>
      </c>
      <c r="B3006" s="1" t="n">
        <v>44334</v>
      </c>
      <c r="C3006" s="1" t="n">
        <v>45828</v>
      </c>
      <c r="D3006" t="inlineStr">
        <is>
          <t>JÖNKÖPINGS LÄN</t>
        </is>
      </c>
      <c r="E3006" t="inlineStr">
        <is>
          <t>VETLANDA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23709-2021</t>
        </is>
      </c>
      <c r="B3007" s="1" t="n">
        <v>44334</v>
      </c>
      <c r="C3007" s="1" t="n">
        <v>45828</v>
      </c>
      <c r="D3007" t="inlineStr">
        <is>
          <t>JÖNKÖPINGS LÄN</t>
        </is>
      </c>
      <c r="E3007" t="inlineStr">
        <is>
          <t>VETLANDA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23743-2021</t>
        </is>
      </c>
      <c r="B3008" s="1" t="n">
        <v>44334</v>
      </c>
      <c r="C3008" s="1" t="n">
        <v>45828</v>
      </c>
      <c r="D3008" t="inlineStr">
        <is>
          <t>JÖNKÖPINGS LÄN</t>
        </is>
      </c>
      <c r="E3008" t="inlineStr">
        <is>
          <t>EKSJÖ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23956-2021</t>
        </is>
      </c>
      <c r="B3009" s="1" t="n">
        <v>44335</v>
      </c>
      <c r="C3009" s="1" t="n">
        <v>45828</v>
      </c>
      <c r="D3009" t="inlineStr">
        <is>
          <t>JÖNKÖPINGS LÄN</t>
        </is>
      </c>
      <c r="E3009" t="inlineStr">
        <is>
          <t>VETLANDA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24105-2021</t>
        </is>
      </c>
      <c r="B3010" s="1" t="n">
        <v>44336</v>
      </c>
      <c r="C3010" s="1" t="n">
        <v>45828</v>
      </c>
      <c r="D3010" t="inlineStr">
        <is>
          <t>JÖNKÖPINGS LÄN</t>
        </is>
      </c>
      <c r="E3010" t="inlineStr">
        <is>
          <t>GNOSJÖ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24192-2021</t>
        </is>
      </c>
      <c r="B3011" s="1" t="n">
        <v>44336</v>
      </c>
      <c r="C3011" s="1" t="n">
        <v>45828</v>
      </c>
      <c r="D3011" t="inlineStr">
        <is>
          <t>JÖNKÖPINGS LÄN</t>
        </is>
      </c>
      <c r="E3011" t="inlineStr">
        <is>
          <t>VETLANDA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24356-2021</t>
        </is>
      </c>
      <c r="B3012" s="1" t="n">
        <v>44337</v>
      </c>
      <c r="C3012" s="1" t="n">
        <v>45828</v>
      </c>
      <c r="D3012" t="inlineStr">
        <is>
          <t>JÖNKÖPINGS LÄN</t>
        </is>
      </c>
      <c r="E3012" t="inlineStr">
        <is>
          <t>GNOSJÖ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24387-2021</t>
        </is>
      </c>
      <c r="B3013" s="1" t="n">
        <v>44337</v>
      </c>
      <c r="C3013" s="1" t="n">
        <v>45828</v>
      </c>
      <c r="D3013" t="inlineStr">
        <is>
          <t>JÖNKÖPINGS LÄN</t>
        </is>
      </c>
      <c r="E3013" t="inlineStr">
        <is>
          <t>NÄSSJÖ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24476-2021</t>
        </is>
      </c>
      <c r="B3014" s="1" t="n">
        <v>44337</v>
      </c>
      <c r="C3014" s="1" t="n">
        <v>45828</v>
      </c>
      <c r="D3014" t="inlineStr">
        <is>
          <t>JÖNKÖPINGS LÄN</t>
        </is>
      </c>
      <c r="E3014" t="inlineStr">
        <is>
          <t>GISLAVED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24656-2021</t>
        </is>
      </c>
      <c r="B3015" s="1" t="n">
        <v>44340</v>
      </c>
      <c r="C3015" s="1" t="n">
        <v>45828</v>
      </c>
      <c r="D3015" t="inlineStr">
        <is>
          <t>JÖNKÖPINGS LÄN</t>
        </is>
      </c>
      <c r="E3015" t="inlineStr">
        <is>
          <t>GISLAVED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24646-2021</t>
        </is>
      </c>
      <c r="B3016" s="1" t="n">
        <v>44340</v>
      </c>
      <c r="C3016" s="1" t="n">
        <v>45828</v>
      </c>
      <c r="D3016" t="inlineStr">
        <is>
          <t>JÖNKÖPINGS LÄN</t>
        </is>
      </c>
      <c r="E3016" t="inlineStr">
        <is>
          <t>VETLANDA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24816-2021</t>
        </is>
      </c>
      <c r="B3017" s="1" t="n">
        <v>44340</v>
      </c>
      <c r="C3017" s="1" t="n">
        <v>45828</v>
      </c>
      <c r="D3017" t="inlineStr">
        <is>
          <t>JÖNKÖPINGS LÄN</t>
        </is>
      </c>
      <c r="E3017" t="inlineStr">
        <is>
          <t>MULLSJÖ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24817-2021</t>
        </is>
      </c>
      <c r="B3018" s="1" t="n">
        <v>44340</v>
      </c>
      <c r="C3018" s="1" t="n">
        <v>45828</v>
      </c>
      <c r="D3018" t="inlineStr">
        <is>
          <t>JÖNKÖPINGS LÄN</t>
        </is>
      </c>
      <c r="E3018" t="inlineStr">
        <is>
          <t>MULLSJÖ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24844-2021</t>
        </is>
      </c>
      <c r="B3019" s="1" t="n">
        <v>44340</v>
      </c>
      <c r="C3019" s="1" t="n">
        <v>45828</v>
      </c>
      <c r="D3019" t="inlineStr">
        <is>
          <t>JÖNKÖPINGS LÄN</t>
        </is>
      </c>
      <c r="E3019" t="inlineStr">
        <is>
          <t>EKSJÖ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24813-2021</t>
        </is>
      </c>
      <c r="B3020" s="1" t="n">
        <v>44340</v>
      </c>
      <c r="C3020" s="1" t="n">
        <v>45828</v>
      </c>
      <c r="D3020" t="inlineStr">
        <is>
          <t>JÖNKÖPINGS LÄN</t>
        </is>
      </c>
      <c r="E3020" t="inlineStr">
        <is>
          <t>GNOSJÖ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24845-2021</t>
        </is>
      </c>
      <c r="B3021" s="1" t="n">
        <v>44340</v>
      </c>
      <c r="C3021" s="1" t="n">
        <v>45828</v>
      </c>
      <c r="D3021" t="inlineStr">
        <is>
          <t>JÖNKÖPINGS LÄN</t>
        </is>
      </c>
      <c r="E3021" t="inlineStr">
        <is>
          <t>EKSJÖ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25005-2021</t>
        </is>
      </c>
      <c r="B3022" s="1" t="n">
        <v>44341</v>
      </c>
      <c r="C3022" s="1" t="n">
        <v>45828</v>
      </c>
      <c r="D3022" t="inlineStr">
        <is>
          <t>JÖNKÖPINGS LÄN</t>
        </is>
      </c>
      <c r="E3022" t="inlineStr">
        <is>
          <t>EKSJÖ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25041-2021</t>
        </is>
      </c>
      <c r="B3023" s="1" t="n">
        <v>44341</v>
      </c>
      <c r="C3023" s="1" t="n">
        <v>45828</v>
      </c>
      <c r="D3023" t="inlineStr">
        <is>
          <t>JÖNKÖPINGS LÄN</t>
        </is>
      </c>
      <c r="E3023" t="inlineStr">
        <is>
          <t>EKSJÖ</t>
        </is>
      </c>
      <c r="F3023" t="inlineStr">
        <is>
          <t>Övriga Aktiebolag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24979-2021</t>
        </is>
      </c>
      <c r="B3024" s="1" t="n">
        <v>44341</v>
      </c>
      <c r="C3024" s="1" t="n">
        <v>45828</v>
      </c>
      <c r="D3024" t="inlineStr">
        <is>
          <t>JÖNKÖPINGS LÄN</t>
        </is>
      </c>
      <c r="E3024" t="inlineStr">
        <is>
          <t>VÄRNAMO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25054-2021</t>
        </is>
      </c>
      <c r="B3025" s="1" t="n">
        <v>44341</v>
      </c>
      <c r="C3025" s="1" t="n">
        <v>45828</v>
      </c>
      <c r="D3025" t="inlineStr">
        <is>
          <t>JÖNKÖPINGS LÄN</t>
        </is>
      </c>
      <c r="E3025" t="inlineStr">
        <is>
          <t>NÄSSJÖ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25010-2021</t>
        </is>
      </c>
      <c r="B3026" s="1" t="n">
        <v>44341</v>
      </c>
      <c r="C3026" s="1" t="n">
        <v>45828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24951-2021</t>
        </is>
      </c>
      <c r="B3027" s="1" t="n">
        <v>44341</v>
      </c>
      <c r="C3027" s="1" t="n">
        <v>45828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24981-2021</t>
        </is>
      </c>
      <c r="B3028" s="1" t="n">
        <v>44341</v>
      </c>
      <c r="C3028" s="1" t="n">
        <v>45828</v>
      </c>
      <c r="D3028" t="inlineStr">
        <is>
          <t>JÖNKÖPINGS LÄN</t>
        </is>
      </c>
      <c r="E3028" t="inlineStr">
        <is>
          <t>VÄRNAMO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25002-2021</t>
        </is>
      </c>
      <c r="B3029" s="1" t="n">
        <v>44341</v>
      </c>
      <c r="C3029" s="1" t="n">
        <v>45828</v>
      </c>
      <c r="D3029" t="inlineStr">
        <is>
          <t>JÖNKÖPINGS LÄN</t>
        </is>
      </c>
      <c r="E3029" t="inlineStr">
        <is>
          <t>EKSJÖ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25107-2021</t>
        </is>
      </c>
      <c r="B3030" s="1" t="n">
        <v>44341</v>
      </c>
      <c r="C3030" s="1" t="n">
        <v>45828</v>
      </c>
      <c r="D3030" t="inlineStr">
        <is>
          <t>JÖNKÖPINGS LÄN</t>
        </is>
      </c>
      <c r="E3030" t="inlineStr">
        <is>
          <t>SÄVSJÖ</t>
        </is>
      </c>
      <c r="F3030" t="inlineStr">
        <is>
          <t>Sveaskog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25073-2021</t>
        </is>
      </c>
      <c r="B3031" s="1" t="n">
        <v>44341</v>
      </c>
      <c r="C3031" s="1" t="n">
        <v>45828</v>
      </c>
      <c r="D3031" t="inlineStr">
        <is>
          <t>JÖNKÖPINGS LÄN</t>
        </is>
      </c>
      <c r="E3031" t="inlineStr">
        <is>
          <t>VETLANDA</t>
        </is>
      </c>
      <c r="G3031" t="n">
        <v>9.1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25100-2021</t>
        </is>
      </c>
      <c r="B3032" s="1" t="n">
        <v>44341</v>
      </c>
      <c r="C3032" s="1" t="n">
        <v>45828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25111-2021</t>
        </is>
      </c>
      <c r="B3033" s="1" t="n">
        <v>44341</v>
      </c>
      <c r="C3033" s="1" t="n">
        <v>45828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25139-2021</t>
        </is>
      </c>
      <c r="B3034" s="1" t="n">
        <v>44341</v>
      </c>
      <c r="C3034" s="1" t="n">
        <v>45828</v>
      </c>
      <c r="D3034" t="inlineStr">
        <is>
          <t>JÖNKÖPINGS LÄN</t>
        </is>
      </c>
      <c r="E3034" t="inlineStr">
        <is>
          <t>TRANÅS</t>
        </is>
      </c>
      <c r="G3034" t="n">
        <v>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25216-2021</t>
        </is>
      </c>
      <c r="B3035" s="1" t="n">
        <v>44342</v>
      </c>
      <c r="C3035" s="1" t="n">
        <v>45828</v>
      </c>
      <c r="D3035" t="inlineStr">
        <is>
          <t>JÖNKÖPINGS LÄN</t>
        </is>
      </c>
      <c r="E3035" t="inlineStr">
        <is>
          <t>EKSJÖ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25294-2021</t>
        </is>
      </c>
      <c r="B3036" s="1" t="n">
        <v>44342</v>
      </c>
      <c r="C3036" s="1" t="n">
        <v>45828</v>
      </c>
      <c r="D3036" t="inlineStr">
        <is>
          <t>JÖNKÖPINGS LÄN</t>
        </is>
      </c>
      <c r="E3036" t="inlineStr">
        <is>
          <t>NÄSSJÖ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25255-2021</t>
        </is>
      </c>
      <c r="B3037" s="1" t="n">
        <v>44342</v>
      </c>
      <c r="C3037" s="1" t="n">
        <v>45828</v>
      </c>
      <c r="D3037" t="inlineStr">
        <is>
          <t>JÖNKÖPINGS LÄN</t>
        </is>
      </c>
      <c r="E3037" t="inlineStr">
        <is>
          <t>JÖNKÖPING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25429-2021</t>
        </is>
      </c>
      <c r="B3038" s="1" t="n">
        <v>44342</v>
      </c>
      <c r="C3038" s="1" t="n">
        <v>45828</v>
      </c>
      <c r="D3038" t="inlineStr">
        <is>
          <t>JÖNKÖPINGS LÄN</t>
        </is>
      </c>
      <c r="E3038" t="inlineStr">
        <is>
          <t>VETLANDA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25599-2021</t>
        </is>
      </c>
      <c r="B3039" s="1" t="n">
        <v>44343</v>
      </c>
      <c r="C3039" s="1" t="n">
        <v>45828</v>
      </c>
      <c r="D3039" t="inlineStr">
        <is>
          <t>JÖNKÖPINGS LÄN</t>
        </is>
      </c>
      <c r="E3039" t="inlineStr">
        <is>
          <t>GISLAVED</t>
        </is>
      </c>
      <c r="F3039" t="inlineStr">
        <is>
          <t>Kommuner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25636-2021</t>
        </is>
      </c>
      <c r="B3040" s="1" t="n">
        <v>44343</v>
      </c>
      <c r="C3040" s="1" t="n">
        <v>45828</v>
      </c>
      <c r="D3040" t="inlineStr">
        <is>
          <t>JÖNKÖPINGS LÄN</t>
        </is>
      </c>
      <c r="E3040" t="inlineStr">
        <is>
          <t>ANEBY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25753-2021</t>
        </is>
      </c>
      <c r="B3041" s="1" t="n">
        <v>44343</v>
      </c>
      <c r="C3041" s="1" t="n">
        <v>45828</v>
      </c>
      <c r="D3041" t="inlineStr">
        <is>
          <t>JÖNKÖPINGS LÄN</t>
        </is>
      </c>
      <c r="E3041" t="inlineStr">
        <is>
          <t>ANEBY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25833-2021</t>
        </is>
      </c>
      <c r="B3042" s="1" t="n">
        <v>44343</v>
      </c>
      <c r="C3042" s="1" t="n">
        <v>45828</v>
      </c>
      <c r="D3042" t="inlineStr">
        <is>
          <t>JÖNKÖPINGS LÄN</t>
        </is>
      </c>
      <c r="E3042" t="inlineStr">
        <is>
          <t>VETLANDA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25835-2021</t>
        </is>
      </c>
      <c r="B3043" s="1" t="n">
        <v>44343</v>
      </c>
      <c r="C3043" s="1" t="n">
        <v>45828</v>
      </c>
      <c r="D3043" t="inlineStr">
        <is>
          <t>JÖNKÖPINGS LÄN</t>
        </is>
      </c>
      <c r="E3043" t="inlineStr">
        <is>
          <t>VETLANDA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26047-2021</t>
        </is>
      </c>
      <c r="B3044" s="1" t="n">
        <v>44344</v>
      </c>
      <c r="C3044" s="1" t="n">
        <v>45828</v>
      </c>
      <c r="D3044" t="inlineStr">
        <is>
          <t>JÖNKÖPINGS LÄN</t>
        </is>
      </c>
      <c r="E3044" t="inlineStr">
        <is>
          <t>VAGGERYD</t>
        </is>
      </c>
      <c r="G3044" t="n">
        <v>7.5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25864-2021</t>
        </is>
      </c>
      <c r="B3045" s="1" t="n">
        <v>44344</v>
      </c>
      <c r="C3045" s="1" t="n">
        <v>45828</v>
      </c>
      <c r="D3045" t="inlineStr">
        <is>
          <t>JÖNKÖPINGS LÄN</t>
        </is>
      </c>
      <c r="E3045" t="inlineStr">
        <is>
          <t>JÖNKÖPING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25893-2021</t>
        </is>
      </c>
      <c r="B3046" s="1" t="n">
        <v>44344</v>
      </c>
      <c r="C3046" s="1" t="n">
        <v>45828</v>
      </c>
      <c r="D3046" t="inlineStr">
        <is>
          <t>JÖNKÖPINGS LÄN</t>
        </is>
      </c>
      <c r="E3046" t="inlineStr">
        <is>
          <t>GISLAVED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26048-2021</t>
        </is>
      </c>
      <c r="B3047" s="1" t="n">
        <v>44344</v>
      </c>
      <c r="C3047" s="1" t="n">
        <v>45828</v>
      </c>
      <c r="D3047" t="inlineStr">
        <is>
          <t>JÖNKÖPINGS LÄN</t>
        </is>
      </c>
      <c r="E3047" t="inlineStr">
        <is>
          <t>VAGGERYD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26024-2021</t>
        </is>
      </c>
      <c r="B3048" s="1" t="n">
        <v>44344</v>
      </c>
      <c r="C3048" s="1" t="n">
        <v>45828</v>
      </c>
      <c r="D3048" t="inlineStr">
        <is>
          <t>JÖNKÖPINGS LÄN</t>
        </is>
      </c>
      <c r="E3048" t="inlineStr">
        <is>
          <t>NÄSSJÖ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26045-2021</t>
        </is>
      </c>
      <c r="B3049" s="1" t="n">
        <v>44344</v>
      </c>
      <c r="C3049" s="1" t="n">
        <v>45828</v>
      </c>
      <c r="D3049" t="inlineStr">
        <is>
          <t>JÖNKÖPINGS LÄN</t>
        </is>
      </c>
      <c r="E3049" t="inlineStr">
        <is>
          <t>VAGGERYD</t>
        </is>
      </c>
      <c r="G3049" t="n">
        <v>9.800000000000001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26051-2021</t>
        </is>
      </c>
      <c r="B3050" s="1" t="n">
        <v>44344</v>
      </c>
      <c r="C3050" s="1" t="n">
        <v>45828</v>
      </c>
      <c r="D3050" t="inlineStr">
        <is>
          <t>JÖNKÖPINGS LÄN</t>
        </is>
      </c>
      <c r="E3050" t="inlineStr">
        <is>
          <t>VAGGERYD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26073-2021</t>
        </is>
      </c>
      <c r="B3051" s="1" t="n">
        <v>44344</v>
      </c>
      <c r="C3051" s="1" t="n">
        <v>45828</v>
      </c>
      <c r="D3051" t="inlineStr">
        <is>
          <t>JÖNKÖPINGS LÄN</t>
        </is>
      </c>
      <c r="E3051" t="inlineStr">
        <is>
          <t>JÖNKÖPING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26015-2021</t>
        </is>
      </c>
      <c r="B3052" s="1" t="n">
        <v>44344</v>
      </c>
      <c r="C3052" s="1" t="n">
        <v>45828</v>
      </c>
      <c r="D3052" t="inlineStr">
        <is>
          <t>JÖNKÖPINGS LÄN</t>
        </is>
      </c>
      <c r="E3052" t="inlineStr">
        <is>
          <t>NÄSSJÖ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26157-2021</t>
        </is>
      </c>
      <c r="B3053" s="1" t="n">
        <v>44347</v>
      </c>
      <c r="C3053" s="1" t="n">
        <v>45828</v>
      </c>
      <c r="D3053" t="inlineStr">
        <is>
          <t>JÖNKÖPINGS LÄN</t>
        </is>
      </c>
      <c r="E3053" t="inlineStr">
        <is>
          <t>VETLANDA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26335-2021</t>
        </is>
      </c>
      <c r="B3054" s="1" t="n">
        <v>44347</v>
      </c>
      <c r="C3054" s="1" t="n">
        <v>45828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26342-2021</t>
        </is>
      </c>
      <c r="B3055" s="1" t="n">
        <v>44347</v>
      </c>
      <c r="C3055" s="1" t="n">
        <v>45828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26228-2021</t>
        </is>
      </c>
      <c r="B3056" s="1" t="n">
        <v>44347</v>
      </c>
      <c r="C3056" s="1" t="n">
        <v>45828</v>
      </c>
      <c r="D3056" t="inlineStr">
        <is>
          <t>JÖNKÖPINGS LÄN</t>
        </is>
      </c>
      <c r="E3056" t="inlineStr">
        <is>
          <t>JÖNKÖPING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26494-2021</t>
        </is>
      </c>
      <c r="B3057" s="1" t="n">
        <v>44348</v>
      </c>
      <c r="C3057" s="1" t="n">
        <v>45828</v>
      </c>
      <c r="D3057" t="inlineStr">
        <is>
          <t>JÖNKÖPINGS LÄN</t>
        </is>
      </c>
      <c r="E3057" t="inlineStr">
        <is>
          <t>JÖNKÖPING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26452-2021</t>
        </is>
      </c>
      <c r="B3058" s="1" t="n">
        <v>44348</v>
      </c>
      <c r="C3058" s="1" t="n">
        <v>45828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26502-2021</t>
        </is>
      </c>
      <c r="B3059" s="1" t="n">
        <v>44348</v>
      </c>
      <c r="C3059" s="1" t="n">
        <v>45828</v>
      </c>
      <c r="D3059" t="inlineStr">
        <is>
          <t>JÖNKÖPINGS LÄN</t>
        </is>
      </c>
      <c r="E3059" t="inlineStr">
        <is>
          <t>HABO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26555-2021</t>
        </is>
      </c>
      <c r="B3060" s="1" t="n">
        <v>44348</v>
      </c>
      <c r="C3060" s="1" t="n">
        <v>45828</v>
      </c>
      <c r="D3060" t="inlineStr">
        <is>
          <t>JÖNKÖPINGS LÄN</t>
        </is>
      </c>
      <c r="E3060" t="inlineStr">
        <is>
          <t>VÄRNAMO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26675-2021</t>
        </is>
      </c>
      <c r="B3061" s="1" t="n">
        <v>44348</v>
      </c>
      <c r="C3061" s="1" t="n">
        <v>45828</v>
      </c>
      <c r="D3061" t="inlineStr">
        <is>
          <t>JÖNKÖPINGS LÄN</t>
        </is>
      </c>
      <c r="E3061" t="inlineStr">
        <is>
          <t>SÄVSJÖ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26860-2021</t>
        </is>
      </c>
      <c r="B3062" s="1" t="n">
        <v>44349</v>
      </c>
      <c r="C3062" s="1" t="n">
        <v>45828</v>
      </c>
      <c r="D3062" t="inlineStr">
        <is>
          <t>JÖNKÖPINGS LÄN</t>
        </is>
      </c>
      <c r="E3062" t="inlineStr">
        <is>
          <t>GNOSJÖ</t>
        </is>
      </c>
      <c r="F3062" t="inlineStr">
        <is>
          <t>Kyrkan</t>
        </is>
      </c>
      <c r="G3062" t="n">
        <v>7.4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26724-2021</t>
        </is>
      </c>
      <c r="B3063" s="1" t="n">
        <v>44349</v>
      </c>
      <c r="C3063" s="1" t="n">
        <v>45828</v>
      </c>
      <c r="D3063" t="inlineStr">
        <is>
          <t>JÖNKÖPINGS LÄN</t>
        </is>
      </c>
      <c r="E3063" t="inlineStr">
        <is>
          <t>EKSJÖ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26753-2021</t>
        </is>
      </c>
      <c r="B3064" s="1" t="n">
        <v>44349</v>
      </c>
      <c r="C3064" s="1" t="n">
        <v>45828</v>
      </c>
      <c r="D3064" t="inlineStr">
        <is>
          <t>JÖNKÖPINGS LÄN</t>
        </is>
      </c>
      <c r="E3064" t="inlineStr">
        <is>
          <t>JÖNKÖPING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26872-2021</t>
        </is>
      </c>
      <c r="B3065" s="1" t="n">
        <v>44349</v>
      </c>
      <c r="C3065" s="1" t="n">
        <v>45828</v>
      </c>
      <c r="D3065" t="inlineStr">
        <is>
          <t>JÖNKÖPINGS LÄN</t>
        </is>
      </c>
      <c r="E3065" t="inlineStr">
        <is>
          <t>SÄVSJÖ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27121-2021</t>
        </is>
      </c>
      <c r="B3066" s="1" t="n">
        <v>44350</v>
      </c>
      <c r="C3066" s="1" t="n">
        <v>45828</v>
      </c>
      <c r="D3066" t="inlineStr">
        <is>
          <t>JÖNKÖPINGS LÄN</t>
        </is>
      </c>
      <c r="E3066" t="inlineStr">
        <is>
          <t>TRANÅS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27200-2021</t>
        </is>
      </c>
      <c r="B3067" s="1" t="n">
        <v>44350</v>
      </c>
      <c r="C3067" s="1" t="n">
        <v>45828</v>
      </c>
      <c r="D3067" t="inlineStr">
        <is>
          <t>JÖNKÖPINGS LÄN</t>
        </is>
      </c>
      <c r="E3067" t="inlineStr">
        <is>
          <t>VETLANDA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27199-2021</t>
        </is>
      </c>
      <c r="B3068" s="1" t="n">
        <v>44350</v>
      </c>
      <c r="C3068" s="1" t="n">
        <v>45828</v>
      </c>
      <c r="D3068" t="inlineStr">
        <is>
          <t>JÖNKÖPINGS LÄN</t>
        </is>
      </c>
      <c r="E3068" t="inlineStr">
        <is>
          <t>VETLANDA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27014-2021</t>
        </is>
      </c>
      <c r="B3069" s="1" t="n">
        <v>44350</v>
      </c>
      <c r="C3069" s="1" t="n">
        <v>45828</v>
      </c>
      <c r="D3069" t="inlineStr">
        <is>
          <t>JÖNKÖPINGS LÄN</t>
        </is>
      </c>
      <c r="E3069" t="inlineStr">
        <is>
          <t>GNOSJÖ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27139-2021</t>
        </is>
      </c>
      <c r="B3070" s="1" t="n">
        <v>44350</v>
      </c>
      <c r="C3070" s="1" t="n">
        <v>45828</v>
      </c>
      <c r="D3070" t="inlineStr">
        <is>
          <t>JÖNKÖPINGS LÄN</t>
        </is>
      </c>
      <c r="E3070" t="inlineStr">
        <is>
          <t>TRANÅS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27195-2021</t>
        </is>
      </c>
      <c r="B3071" s="1" t="n">
        <v>44350</v>
      </c>
      <c r="C3071" s="1" t="n">
        <v>45828</v>
      </c>
      <c r="D3071" t="inlineStr">
        <is>
          <t>JÖNKÖPINGS LÄN</t>
        </is>
      </c>
      <c r="E3071" t="inlineStr">
        <is>
          <t>VETLANDA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27310-2021</t>
        </is>
      </c>
      <c r="B3072" s="1" t="n">
        <v>44351</v>
      </c>
      <c r="C3072" s="1" t="n">
        <v>45828</v>
      </c>
      <c r="D3072" t="inlineStr">
        <is>
          <t>JÖNKÖPINGS LÄN</t>
        </is>
      </c>
      <c r="E3072" t="inlineStr">
        <is>
          <t>VAGGERYD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27319-2021</t>
        </is>
      </c>
      <c r="B3073" s="1" t="n">
        <v>44351</v>
      </c>
      <c r="C3073" s="1" t="n">
        <v>45828</v>
      </c>
      <c r="D3073" t="inlineStr">
        <is>
          <t>JÖNKÖPINGS LÄN</t>
        </is>
      </c>
      <c r="E3073" t="inlineStr">
        <is>
          <t>VAGGERYD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27316-2021</t>
        </is>
      </c>
      <c r="B3074" s="1" t="n">
        <v>44351</v>
      </c>
      <c r="C3074" s="1" t="n">
        <v>45828</v>
      </c>
      <c r="D3074" t="inlineStr">
        <is>
          <t>JÖNKÖPINGS LÄN</t>
        </is>
      </c>
      <c r="E3074" t="inlineStr">
        <is>
          <t>VAGGERYD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27392-2021</t>
        </is>
      </c>
      <c r="B3075" s="1" t="n">
        <v>44351</v>
      </c>
      <c r="C3075" s="1" t="n">
        <v>45828</v>
      </c>
      <c r="D3075" t="inlineStr">
        <is>
          <t>JÖNKÖPINGS LÄN</t>
        </is>
      </c>
      <c r="E3075" t="inlineStr">
        <is>
          <t>SÄVSJÖ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27440-2021</t>
        </is>
      </c>
      <c r="B3076" s="1" t="n">
        <v>44351</v>
      </c>
      <c r="C3076" s="1" t="n">
        <v>45828</v>
      </c>
      <c r="D3076" t="inlineStr">
        <is>
          <t>JÖNKÖPINGS LÄN</t>
        </is>
      </c>
      <c r="E3076" t="inlineStr">
        <is>
          <t>VAGGERYD</t>
        </is>
      </c>
      <c r="G3076" t="n">
        <v>8.6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27535-2021</t>
        </is>
      </c>
      <c r="B3077" s="1" t="n">
        <v>44351</v>
      </c>
      <c r="C3077" s="1" t="n">
        <v>45828</v>
      </c>
      <c r="D3077" t="inlineStr">
        <is>
          <t>JÖNKÖPINGS LÄN</t>
        </is>
      </c>
      <c r="E3077" t="inlineStr">
        <is>
          <t>VÄRNAMO</t>
        </is>
      </c>
      <c r="G3077" t="n">
        <v>9.199999999999999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27583-2021</t>
        </is>
      </c>
      <c r="B3078" s="1" t="n">
        <v>44353</v>
      </c>
      <c r="C3078" s="1" t="n">
        <v>45828</v>
      </c>
      <c r="D3078" t="inlineStr">
        <is>
          <t>JÖNKÖPINGS LÄN</t>
        </is>
      </c>
      <c r="E3078" t="inlineStr">
        <is>
          <t>GISLAVED</t>
        </is>
      </c>
      <c r="G3078" t="n">
        <v>11.7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27581-2021</t>
        </is>
      </c>
      <c r="B3079" s="1" t="n">
        <v>44353</v>
      </c>
      <c r="C3079" s="1" t="n">
        <v>45828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27584-2021</t>
        </is>
      </c>
      <c r="B3080" s="1" t="n">
        <v>44353</v>
      </c>
      <c r="C3080" s="1" t="n">
        <v>45828</v>
      </c>
      <c r="D3080" t="inlineStr">
        <is>
          <t>JÖNKÖPINGS LÄN</t>
        </is>
      </c>
      <c r="E3080" t="inlineStr">
        <is>
          <t>GISLAVED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27582-2021</t>
        </is>
      </c>
      <c r="B3081" s="1" t="n">
        <v>44353</v>
      </c>
      <c r="C3081" s="1" t="n">
        <v>45828</v>
      </c>
      <c r="D3081" t="inlineStr">
        <is>
          <t>JÖNKÖPINGS LÄN</t>
        </is>
      </c>
      <c r="E3081" t="inlineStr">
        <is>
          <t>GISLAVED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27671-2021</t>
        </is>
      </c>
      <c r="B3082" s="1" t="n">
        <v>44354</v>
      </c>
      <c r="C3082" s="1" t="n">
        <v>45828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27624-2021</t>
        </is>
      </c>
      <c r="B3083" s="1" t="n">
        <v>44354</v>
      </c>
      <c r="C3083" s="1" t="n">
        <v>45828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27890-2021</t>
        </is>
      </c>
      <c r="B3084" s="1" t="n">
        <v>44354</v>
      </c>
      <c r="C3084" s="1" t="n">
        <v>45828</v>
      </c>
      <c r="D3084" t="inlineStr">
        <is>
          <t>JÖNKÖPINGS LÄN</t>
        </is>
      </c>
      <c r="E3084" t="inlineStr">
        <is>
          <t>VAGGERYD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27874-2021</t>
        </is>
      </c>
      <c r="B3085" s="1" t="n">
        <v>44354</v>
      </c>
      <c r="C3085" s="1" t="n">
        <v>45828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27996-2021</t>
        </is>
      </c>
      <c r="B3086" s="1" t="n">
        <v>44355</v>
      </c>
      <c r="C3086" s="1" t="n">
        <v>45828</v>
      </c>
      <c r="D3086" t="inlineStr">
        <is>
          <t>JÖNKÖPINGS LÄN</t>
        </is>
      </c>
      <c r="E3086" t="inlineStr">
        <is>
          <t>VETLANDA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28073-2021</t>
        </is>
      </c>
      <c r="B3087" s="1" t="n">
        <v>44355</v>
      </c>
      <c r="C3087" s="1" t="n">
        <v>45828</v>
      </c>
      <c r="D3087" t="inlineStr">
        <is>
          <t>JÖNKÖPINGS LÄN</t>
        </is>
      </c>
      <c r="E3087" t="inlineStr">
        <is>
          <t>GISLAVED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28188-2021</t>
        </is>
      </c>
      <c r="B3088" s="1" t="n">
        <v>44355</v>
      </c>
      <c r="C3088" s="1" t="n">
        <v>45828</v>
      </c>
      <c r="D3088" t="inlineStr">
        <is>
          <t>JÖNKÖPINGS LÄN</t>
        </is>
      </c>
      <c r="E3088" t="inlineStr">
        <is>
          <t>TRANÅS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28211-2021</t>
        </is>
      </c>
      <c r="B3089" s="1" t="n">
        <v>44355</v>
      </c>
      <c r="C3089" s="1" t="n">
        <v>45828</v>
      </c>
      <c r="D3089" t="inlineStr">
        <is>
          <t>JÖNKÖPINGS LÄN</t>
        </is>
      </c>
      <c r="E3089" t="inlineStr">
        <is>
          <t>VETLANDA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28171-2021</t>
        </is>
      </c>
      <c r="B3090" s="1" t="n">
        <v>44355</v>
      </c>
      <c r="C3090" s="1" t="n">
        <v>45828</v>
      </c>
      <c r="D3090" t="inlineStr">
        <is>
          <t>JÖNKÖPINGS LÄN</t>
        </is>
      </c>
      <c r="E3090" t="inlineStr">
        <is>
          <t>JÖNKÖPING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28007-2021</t>
        </is>
      </c>
      <c r="B3091" s="1" t="n">
        <v>44355</v>
      </c>
      <c r="C3091" s="1" t="n">
        <v>45828</v>
      </c>
      <c r="D3091" t="inlineStr">
        <is>
          <t>JÖNKÖPINGS LÄN</t>
        </is>
      </c>
      <c r="E3091" t="inlineStr">
        <is>
          <t>VAGGERYD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28362-2021</t>
        </is>
      </c>
      <c r="B3092" s="1" t="n">
        <v>44356</v>
      </c>
      <c r="C3092" s="1" t="n">
        <v>45828</v>
      </c>
      <c r="D3092" t="inlineStr">
        <is>
          <t>JÖNKÖPINGS LÄN</t>
        </is>
      </c>
      <c r="E3092" t="inlineStr">
        <is>
          <t>VÄRNAMO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28312-2021</t>
        </is>
      </c>
      <c r="B3093" s="1" t="n">
        <v>44356</v>
      </c>
      <c r="C3093" s="1" t="n">
        <v>45828</v>
      </c>
      <c r="D3093" t="inlineStr">
        <is>
          <t>JÖNKÖPINGS LÄN</t>
        </is>
      </c>
      <c r="E3093" t="inlineStr">
        <is>
          <t>TRANÅS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28377-2021</t>
        </is>
      </c>
      <c r="B3094" s="1" t="n">
        <v>44356</v>
      </c>
      <c r="C3094" s="1" t="n">
        <v>45828</v>
      </c>
      <c r="D3094" t="inlineStr">
        <is>
          <t>JÖNKÖPINGS LÄN</t>
        </is>
      </c>
      <c r="E3094" t="inlineStr">
        <is>
          <t>NÄSSJÖ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28340-2021</t>
        </is>
      </c>
      <c r="B3095" s="1" t="n">
        <v>44356</v>
      </c>
      <c r="C3095" s="1" t="n">
        <v>45828</v>
      </c>
      <c r="D3095" t="inlineStr">
        <is>
          <t>JÖNKÖPINGS LÄN</t>
        </is>
      </c>
      <c r="E3095" t="inlineStr">
        <is>
          <t>TRANÅS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28579-2021</t>
        </is>
      </c>
      <c r="B3096" s="1" t="n">
        <v>44356</v>
      </c>
      <c r="C3096" s="1" t="n">
        <v>45828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28585-2021</t>
        </is>
      </c>
      <c r="B3097" s="1" t="n">
        <v>44356</v>
      </c>
      <c r="C3097" s="1" t="n">
        <v>45828</v>
      </c>
      <c r="D3097" t="inlineStr">
        <is>
          <t>JÖNKÖPINGS LÄN</t>
        </is>
      </c>
      <c r="E3097" t="inlineStr">
        <is>
          <t>NÄSSJÖ</t>
        </is>
      </c>
      <c r="G3097" t="n">
        <v>0.1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28583-2021</t>
        </is>
      </c>
      <c r="B3098" s="1" t="n">
        <v>44356</v>
      </c>
      <c r="C3098" s="1" t="n">
        <v>45828</v>
      </c>
      <c r="D3098" t="inlineStr">
        <is>
          <t>JÖNKÖPINGS LÄN</t>
        </is>
      </c>
      <c r="E3098" t="inlineStr">
        <is>
          <t>NÄSSJÖ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28580-2021</t>
        </is>
      </c>
      <c r="B3099" s="1" t="n">
        <v>44356</v>
      </c>
      <c r="C3099" s="1" t="n">
        <v>45828</v>
      </c>
      <c r="D3099" t="inlineStr">
        <is>
          <t>JÖNKÖPINGS LÄN</t>
        </is>
      </c>
      <c r="E3099" t="inlineStr">
        <is>
          <t>NÄSSJÖ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28436-2021</t>
        </is>
      </c>
      <c r="B3100" s="1" t="n">
        <v>44356</v>
      </c>
      <c r="C3100" s="1" t="n">
        <v>45828</v>
      </c>
      <c r="D3100" t="inlineStr">
        <is>
          <t>JÖNKÖPINGS LÄN</t>
        </is>
      </c>
      <c r="E3100" t="inlineStr">
        <is>
          <t>GISLAVED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28570-2021</t>
        </is>
      </c>
      <c r="B3101" s="1" t="n">
        <v>44356</v>
      </c>
      <c r="C3101" s="1" t="n">
        <v>45828</v>
      </c>
      <c r="D3101" t="inlineStr">
        <is>
          <t>JÖNKÖPINGS LÄN</t>
        </is>
      </c>
      <c r="E3101" t="inlineStr">
        <is>
          <t>JÖNKÖPING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28582-2021</t>
        </is>
      </c>
      <c r="B3102" s="1" t="n">
        <v>44356</v>
      </c>
      <c r="C3102" s="1" t="n">
        <v>45828</v>
      </c>
      <c r="D3102" t="inlineStr">
        <is>
          <t>JÖNKÖPINGS LÄN</t>
        </is>
      </c>
      <c r="E3102" t="inlineStr">
        <is>
          <t>NÄSSJÖ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28667-2021</t>
        </is>
      </c>
      <c r="B3103" s="1" t="n">
        <v>44357</v>
      </c>
      <c r="C3103" s="1" t="n">
        <v>45828</v>
      </c>
      <c r="D3103" t="inlineStr">
        <is>
          <t>JÖNKÖPINGS LÄN</t>
        </is>
      </c>
      <c r="E3103" t="inlineStr">
        <is>
          <t>SÄVSJÖ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28692-2021</t>
        </is>
      </c>
      <c r="B3104" s="1" t="n">
        <v>44357</v>
      </c>
      <c r="C3104" s="1" t="n">
        <v>45828</v>
      </c>
      <c r="D3104" t="inlineStr">
        <is>
          <t>JÖNKÖPINGS LÄN</t>
        </is>
      </c>
      <c r="E3104" t="inlineStr">
        <is>
          <t>VAGGERYD</t>
        </is>
      </c>
      <c r="G3104" t="n">
        <v>17.2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28938-2021</t>
        </is>
      </c>
      <c r="B3105" s="1" t="n">
        <v>44357</v>
      </c>
      <c r="C3105" s="1" t="n">
        <v>45828</v>
      </c>
      <c r="D3105" t="inlineStr">
        <is>
          <t>JÖNKÖPINGS LÄN</t>
        </is>
      </c>
      <c r="E3105" t="inlineStr">
        <is>
          <t>ANEBY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28942-2021</t>
        </is>
      </c>
      <c r="B3106" s="1" t="n">
        <v>44357</v>
      </c>
      <c r="C3106" s="1" t="n">
        <v>45828</v>
      </c>
      <c r="D3106" t="inlineStr">
        <is>
          <t>JÖNKÖPINGS LÄN</t>
        </is>
      </c>
      <c r="E3106" t="inlineStr">
        <is>
          <t>ANEBY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28927-2021</t>
        </is>
      </c>
      <c r="B3107" s="1" t="n">
        <v>44358</v>
      </c>
      <c r="C3107" s="1" t="n">
        <v>45828</v>
      </c>
      <c r="D3107" t="inlineStr">
        <is>
          <t>JÖNKÖPINGS LÄN</t>
        </is>
      </c>
      <c r="E3107" t="inlineStr">
        <is>
          <t>GISLAVED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28977-2021</t>
        </is>
      </c>
      <c r="B3108" s="1" t="n">
        <v>44358</v>
      </c>
      <c r="C3108" s="1" t="n">
        <v>45828</v>
      </c>
      <c r="D3108" t="inlineStr">
        <is>
          <t>JÖNKÖPINGS LÄN</t>
        </is>
      </c>
      <c r="E3108" t="inlineStr">
        <is>
          <t>HABO</t>
        </is>
      </c>
      <c r="F3108" t="inlineStr">
        <is>
          <t>Sveaskog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29068-2021</t>
        </is>
      </c>
      <c r="B3109" s="1" t="n">
        <v>44358</v>
      </c>
      <c r="C3109" s="1" t="n">
        <v>45828</v>
      </c>
      <c r="D3109" t="inlineStr">
        <is>
          <t>JÖNKÖPINGS LÄN</t>
        </is>
      </c>
      <c r="E3109" t="inlineStr">
        <is>
          <t>VAGGERYD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28931-2021</t>
        </is>
      </c>
      <c r="B3110" s="1" t="n">
        <v>44358</v>
      </c>
      <c r="C3110" s="1" t="n">
        <v>45828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28945-2021</t>
        </is>
      </c>
      <c r="B3111" s="1" t="n">
        <v>44358</v>
      </c>
      <c r="C3111" s="1" t="n">
        <v>45828</v>
      </c>
      <c r="D3111" t="inlineStr">
        <is>
          <t>JÖNKÖPINGS LÄN</t>
        </is>
      </c>
      <c r="E3111" t="inlineStr">
        <is>
          <t>EKSJÖ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28922-2021</t>
        </is>
      </c>
      <c r="B3112" s="1" t="n">
        <v>44358</v>
      </c>
      <c r="C3112" s="1" t="n">
        <v>45828</v>
      </c>
      <c r="D3112" t="inlineStr">
        <is>
          <t>JÖNKÖPINGS LÄN</t>
        </is>
      </c>
      <c r="E3112" t="inlineStr">
        <is>
          <t>GISLAVED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28948-2021</t>
        </is>
      </c>
      <c r="B3113" s="1" t="n">
        <v>44358</v>
      </c>
      <c r="C3113" s="1" t="n">
        <v>45828</v>
      </c>
      <c r="D3113" t="inlineStr">
        <is>
          <t>JÖNKÖPINGS LÄN</t>
        </is>
      </c>
      <c r="E3113" t="inlineStr">
        <is>
          <t>GISLAVED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28921-2021</t>
        </is>
      </c>
      <c r="B3114" s="1" t="n">
        <v>44358</v>
      </c>
      <c r="C3114" s="1" t="n">
        <v>45828</v>
      </c>
      <c r="D3114" t="inlineStr">
        <is>
          <t>JÖNKÖPINGS LÄN</t>
        </is>
      </c>
      <c r="E3114" t="inlineStr">
        <is>
          <t>GISLAVED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28947-2021</t>
        </is>
      </c>
      <c r="B3115" s="1" t="n">
        <v>44358</v>
      </c>
      <c r="C3115" s="1" t="n">
        <v>45828</v>
      </c>
      <c r="D3115" t="inlineStr">
        <is>
          <t>JÖNKÖPINGS LÄN</t>
        </is>
      </c>
      <c r="E3115" t="inlineStr">
        <is>
          <t>EKSJÖ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28972-2021</t>
        </is>
      </c>
      <c r="B3116" s="1" t="n">
        <v>44358</v>
      </c>
      <c r="C3116" s="1" t="n">
        <v>45828</v>
      </c>
      <c r="D3116" t="inlineStr">
        <is>
          <t>JÖNKÖPINGS LÄN</t>
        </is>
      </c>
      <c r="E3116" t="inlineStr">
        <is>
          <t>NÄSSJÖ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29063-2021</t>
        </is>
      </c>
      <c r="B3117" s="1" t="n">
        <v>44358</v>
      </c>
      <c r="C3117" s="1" t="n">
        <v>45828</v>
      </c>
      <c r="D3117" t="inlineStr">
        <is>
          <t>JÖNKÖPINGS LÄN</t>
        </is>
      </c>
      <c r="E3117" t="inlineStr">
        <is>
          <t>GISLAVED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29054-2021</t>
        </is>
      </c>
      <c r="B3118" s="1" t="n">
        <v>44358</v>
      </c>
      <c r="C3118" s="1" t="n">
        <v>45828</v>
      </c>
      <c r="D3118" t="inlineStr">
        <is>
          <t>JÖNKÖPINGS LÄN</t>
        </is>
      </c>
      <c r="E3118" t="inlineStr">
        <is>
          <t>VETLANDA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29154-2021</t>
        </is>
      </c>
      <c r="B3119" s="1" t="n">
        <v>44358</v>
      </c>
      <c r="C3119" s="1" t="n">
        <v>45828</v>
      </c>
      <c r="D3119" t="inlineStr">
        <is>
          <t>JÖNKÖPINGS LÄN</t>
        </is>
      </c>
      <c r="E3119" t="inlineStr">
        <is>
          <t>SÄVSJÖ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45828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29149-2021</t>
        </is>
      </c>
      <c r="B3121" s="1" t="n">
        <v>44358</v>
      </c>
      <c r="C3121" s="1" t="n">
        <v>45828</v>
      </c>
      <c r="D3121" t="inlineStr">
        <is>
          <t>JÖNKÖPINGS LÄN</t>
        </is>
      </c>
      <c r="E3121" t="inlineStr">
        <is>
          <t>SÄVSJÖ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29224-2021</t>
        </is>
      </c>
      <c r="B3122" s="1" t="n">
        <v>44360</v>
      </c>
      <c r="C3122" s="1" t="n">
        <v>45828</v>
      </c>
      <c r="D3122" t="inlineStr">
        <is>
          <t>JÖNKÖPINGS LÄN</t>
        </is>
      </c>
      <c r="E3122" t="inlineStr">
        <is>
          <t>JÖNKÖPING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29223-2021</t>
        </is>
      </c>
      <c r="B3123" s="1" t="n">
        <v>44360</v>
      </c>
      <c r="C3123" s="1" t="n">
        <v>45828</v>
      </c>
      <c r="D3123" t="inlineStr">
        <is>
          <t>JÖNKÖPINGS LÄN</t>
        </is>
      </c>
      <c r="E3123" t="inlineStr">
        <is>
          <t>JÖNKÖPING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29336-2021</t>
        </is>
      </c>
      <c r="B3124" s="1" t="n">
        <v>44361</v>
      </c>
      <c r="C3124" s="1" t="n">
        <v>45828</v>
      </c>
      <c r="D3124" t="inlineStr">
        <is>
          <t>JÖNKÖPINGS LÄN</t>
        </is>
      </c>
      <c r="E3124" t="inlineStr">
        <is>
          <t>JÖNKÖPING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29375-2021</t>
        </is>
      </c>
      <c r="B3125" s="1" t="n">
        <v>44361</v>
      </c>
      <c r="C3125" s="1" t="n">
        <v>45828</v>
      </c>
      <c r="D3125" t="inlineStr">
        <is>
          <t>JÖNKÖPINGS LÄN</t>
        </is>
      </c>
      <c r="E3125" t="inlineStr">
        <is>
          <t>VÄRNAMO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29348-2021</t>
        </is>
      </c>
      <c r="B3126" s="1" t="n">
        <v>44361</v>
      </c>
      <c r="C3126" s="1" t="n">
        <v>45828</v>
      </c>
      <c r="D3126" t="inlineStr">
        <is>
          <t>JÖNKÖPINGS LÄN</t>
        </is>
      </c>
      <c r="E3126" t="inlineStr">
        <is>
          <t>VÄRNAMO</t>
        </is>
      </c>
      <c r="G3126" t="n">
        <v>9.699999999999999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29373-2021</t>
        </is>
      </c>
      <c r="B3127" s="1" t="n">
        <v>44361</v>
      </c>
      <c r="C3127" s="1" t="n">
        <v>45828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29544-2021</t>
        </is>
      </c>
      <c r="B3128" s="1" t="n">
        <v>44361</v>
      </c>
      <c r="C3128" s="1" t="n">
        <v>45828</v>
      </c>
      <c r="D3128" t="inlineStr">
        <is>
          <t>JÖNKÖPINGS LÄN</t>
        </is>
      </c>
      <c r="E3128" t="inlineStr">
        <is>
          <t>NÄSSJÖ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29595-2021</t>
        </is>
      </c>
      <c r="B3129" s="1" t="n">
        <v>44361</v>
      </c>
      <c r="C3129" s="1" t="n">
        <v>45828</v>
      </c>
      <c r="D3129" t="inlineStr">
        <is>
          <t>JÖNKÖPINGS LÄN</t>
        </is>
      </c>
      <c r="E3129" t="inlineStr">
        <is>
          <t>VÄRNAMO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29432-2021</t>
        </is>
      </c>
      <c r="B3130" s="1" t="n">
        <v>44361</v>
      </c>
      <c r="C3130" s="1" t="n">
        <v>45828</v>
      </c>
      <c r="D3130" t="inlineStr">
        <is>
          <t>JÖNKÖPINGS LÄN</t>
        </is>
      </c>
      <c r="E3130" t="inlineStr">
        <is>
          <t>VETLANDA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29763-2021</t>
        </is>
      </c>
      <c r="B3131" s="1" t="n">
        <v>44362</v>
      </c>
      <c r="C3131" s="1" t="n">
        <v>45828</v>
      </c>
      <c r="D3131" t="inlineStr">
        <is>
          <t>JÖNKÖPINGS LÄN</t>
        </is>
      </c>
      <c r="E3131" t="inlineStr">
        <is>
          <t>VETLANDA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29860-2021</t>
        </is>
      </c>
      <c r="B3132" s="1" t="n">
        <v>44362</v>
      </c>
      <c r="C3132" s="1" t="n">
        <v>45828</v>
      </c>
      <c r="D3132" t="inlineStr">
        <is>
          <t>JÖNKÖPINGS LÄN</t>
        </is>
      </c>
      <c r="E3132" t="inlineStr">
        <is>
          <t>VAGGERYD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29863-2021</t>
        </is>
      </c>
      <c r="B3133" s="1" t="n">
        <v>44362</v>
      </c>
      <c r="C3133" s="1" t="n">
        <v>45828</v>
      </c>
      <c r="D3133" t="inlineStr">
        <is>
          <t>JÖNKÖPINGS LÄN</t>
        </is>
      </c>
      <c r="E3133" t="inlineStr">
        <is>
          <t>VAGGERYD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29865-2021</t>
        </is>
      </c>
      <c r="B3134" s="1" t="n">
        <v>44362</v>
      </c>
      <c r="C3134" s="1" t="n">
        <v>45828</v>
      </c>
      <c r="D3134" t="inlineStr">
        <is>
          <t>JÖNKÖPINGS LÄN</t>
        </is>
      </c>
      <c r="E3134" t="inlineStr">
        <is>
          <t>HABO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29847-2021</t>
        </is>
      </c>
      <c r="B3135" s="1" t="n">
        <v>44362</v>
      </c>
      <c r="C3135" s="1" t="n">
        <v>45828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29776-2021</t>
        </is>
      </c>
      <c r="B3136" s="1" t="n">
        <v>44362</v>
      </c>
      <c r="C3136" s="1" t="n">
        <v>45828</v>
      </c>
      <c r="D3136" t="inlineStr">
        <is>
          <t>JÖNKÖPINGS LÄN</t>
        </is>
      </c>
      <c r="E3136" t="inlineStr">
        <is>
          <t>EKSJÖ</t>
        </is>
      </c>
      <c r="G3136" t="n">
        <v>4.2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30120-2021</t>
        </is>
      </c>
      <c r="B3137" s="1" t="n">
        <v>44363</v>
      </c>
      <c r="C3137" s="1" t="n">
        <v>45828</v>
      </c>
      <c r="D3137" t="inlineStr">
        <is>
          <t>JÖNKÖPINGS LÄN</t>
        </is>
      </c>
      <c r="E3137" t="inlineStr">
        <is>
          <t>EKSJÖ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30020-2021</t>
        </is>
      </c>
      <c r="B3138" s="1" t="n">
        <v>44363</v>
      </c>
      <c r="C3138" s="1" t="n">
        <v>45828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30222-2021</t>
        </is>
      </c>
      <c r="B3139" s="1" t="n">
        <v>44363</v>
      </c>
      <c r="C3139" s="1" t="n">
        <v>45828</v>
      </c>
      <c r="D3139" t="inlineStr">
        <is>
          <t>JÖNKÖPINGS LÄN</t>
        </is>
      </c>
      <c r="E3139" t="inlineStr">
        <is>
          <t>VETLANDA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30289-2021</t>
        </is>
      </c>
      <c r="B3140" s="1" t="n">
        <v>44364</v>
      </c>
      <c r="C3140" s="1" t="n">
        <v>45828</v>
      </c>
      <c r="D3140" t="inlineStr">
        <is>
          <t>JÖNKÖPINGS LÄN</t>
        </is>
      </c>
      <c r="E3140" t="inlineStr">
        <is>
          <t>EKSJÖ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30370-2021</t>
        </is>
      </c>
      <c r="B3141" s="1" t="n">
        <v>44364</v>
      </c>
      <c r="C3141" s="1" t="n">
        <v>45828</v>
      </c>
      <c r="D3141" t="inlineStr">
        <is>
          <t>JÖNKÖPINGS LÄN</t>
        </is>
      </c>
      <c r="E3141" t="inlineStr">
        <is>
          <t>VETLANDA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30287-2021</t>
        </is>
      </c>
      <c r="B3142" s="1" t="n">
        <v>44364</v>
      </c>
      <c r="C3142" s="1" t="n">
        <v>45828</v>
      </c>
      <c r="D3142" t="inlineStr">
        <is>
          <t>JÖNKÖPINGS LÄN</t>
        </is>
      </c>
      <c r="E3142" t="inlineStr">
        <is>
          <t>NÄSSJÖ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30399-2021</t>
        </is>
      </c>
      <c r="B3143" s="1" t="n">
        <v>44364</v>
      </c>
      <c r="C3143" s="1" t="n">
        <v>45828</v>
      </c>
      <c r="D3143" t="inlineStr">
        <is>
          <t>JÖNKÖPINGS LÄN</t>
        </is>
      </c>
      <c r="E3143" t="inlineStr">
        <is>
          <t>VAGGERYD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30632-2021</t>
        </is>
      </c>
      <c r="B3144" s="1" t="n">
        <v>44365</v>
      </c>
      <c r="C3144" s="1" t="n">
        <v>45828</v>
      </c>
      <c r="D3144" t="inlineStr">
        <is>
          <t>JÖNKÖPINGS LÄN</t>
        </is>
      </c>
      <c r="E3144" t="inlineStr">
        <is>
          <t>EKSJÖ</t>
        </is>
      </c>
      <c r="G3144" t="n">
        <v>8.800000000000001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30640-2021</t>
        </is>
      </c>
      <c r="B3145" s="1" t="n">
        <v>44365</v>
      </c>
      <c r="C3145" s="1" t="n">
        <v>45828</v>
      </c>
      <c r="D3145" t="inlineStr">
        <is>
          <t>JÖNKÖPINGS LÄN</t>
        </is>
      </c>
      <c r="E3145" t="inlineStr">
        <is>
          <t>VÄRNAMO</t>
        </is>
      </c>
      <c r="F3145" t="inlineStr">
        <is>
          <t>Kommuner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30662-2021</t>
        </is>
      </c>
      <c r="B3146" s="1" t="n">
        <v>44365</v>
      </c>
      <c r="C3146" s="1" t="n">
        <v>45828</v>
      </c>
      <c r="D3146" t="inlineStr">
        <is>
          <t>JÖNKÖPINGS LÄN</t>
        </is>
      </c>
      <c r="E3146" t="inlineStr">
        <is>
          <t>EKSJÖ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30716-2021</t>
        </is>
      </c>
      <c r="B3147" s="1" t="n">
        <v>44365</v>
      </c>
      <c r="C3147" s="1" t="n">
        <v>45828</v>
      </c>
      <c r="D3147" t="inlineStr">
        <is>
          <t>JÖNKÖPINGS LÄN</t>
        </is>
      </c>
      <c r="E3147" t="inlineStr">
        <is>
          <t>VETLANDA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30772-2021</t>
        </is>
      </c>
      <c r="B3148" s="1" t="n">
        <v>44365</v>
      </c>
      <c r="C3148" s="1" t="n">
        <v>45828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30781-2021</t>
        </is>
      </c>
      <c r="B3149" s="1" t="n">
        <v>44365</v>
      </c>
      <c r="C3149" s="1" t="n">
        <v>45828</v>
      </c>
      <c r="D3149" t="inlineStr">
        <is>
          <t>JÖNKÖPINGS LÄN</t>
        </is>
      </c>
      <c r="E3149" t="inlineStr">
        <is>
          <t>GISLAVED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30894-2021</t>
        </is>
      </c>
      <c r="B3150" s="1" t="n">
        <v>44365</v>
      </c>
      <c r="C3150" s="1" t="n">
        <v>45828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30922-2021</t>
        </is>
      </c>
      <c r="B3151" s="1" t="n">
        <v>44365</v>
      </c>
      <c r="C3151" s="1" t="n">
        <v>45828</v>
      </c>
      <c r="D3151" t="inlineStr">
        <is>
          <t>JÖNKÖPINGS LÄN</t>
        </is>
      </c>
      <c r="E3151" t="inlineStr">
        <is>
          <t>JÖNKÖPING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30880-2021</t>
        </is>
      </c>
      <c r="B3152" s="1" t="n">
        <v>44365</v>
      </c>
      <c r="C3152" s="1" t="n">
        <v>45828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31021-2021</t>
        </is>
      </c>
      <c r="B3153" s="1" t="n">
        <v>44367</v>
      </c>
      <c r="C3153" s="1" t="n">
        <v>45828</v>
      </c>
      <c r="D3153" t="inlineStr">
        <is>
          <t>JÖNKÖPINGS LÄN</t>
        </is>
      </c>
      <c r="E3153" t="inlineStr">
        <is>
          <t>VAGGERYD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31022-2021</t>
        </is>
      </c>
      <c r="B3154" s="1" t="n">
        <v>44367</v>
      </c>
      <c r="C3154" s="1" t="n">
        <v>45828</v>
      </c>
      <c r="D3154" t="inlineStr">
        <is>
          <t>JÖNKÖPINGS LÄN</t>
        </is>
      </c>
      <c r="E3154" t="inlineStr">
        <is>
          <t>VAGGERYD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31020-2021</t>
        </is>
      </c>
      <c r="B3155" s="1" t="n">
        <v>44367</v>
      </c>
      <c r="C3155" s="1" t="n">
        <v>45828</v>
      </c>
      <c r="D3155" t="inlineStr">
        <is>
          <t>JÖNKÖPINGS LÄN</t>
        </is>
      </c>
      <c r="E3155" t="inlineStr">
        <is>
          <t>VAGGERYD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31118-2021</t>
        </is>
      </c>
      <c r="B3156" s="1" t="n">
        <v>44368</v>
      </c>
      <c r="C3156" s="1" t="n">
        <v>45828</v>
      </c>
      <c r="D3156" t="inlineStr">
        <is>
          <t>JÖNKÖPINGS LÄN</t>
        </is>
      </c>
      <c r="E3156" t="inlineStr">
        <is>
          <t>VETLANDA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31213-2021</t>
        </is>
      </c>
      <c r="B3157" s="1" t="n">
        <v>44368</v>
      </c>
      <c r="C3157" s="1" t="n">
        <v>45828</v>
      </c>
      <c r="D3157" t="inlineStr">
        <is>
          <t>JÖNKÖPINGS LÄN</t>
        </is>
      </c>
      <c r="E3157" t="inlineStr">
        <is>
          <t>JÖNKÖPING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31529-2021</t>
        </is>
      </c>
      <c r="B3158" s="1" t="n">
        <v>44369</v>
      </c>
      <c r="C3158" s="1" t="n">
        <v>45828</v>
      </c>
      <c r="D3158" t="inlineStr">
        <is>
          <t>JÖNKÖPINGS LÄN</t>
        </is>
      </c>
      <c r="E3158" t="inlineStr">
        <is>
          <t>VETLANDA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31586-2021</t>
        </is>
      </c>
      <c r="B3159" s="1" t="n">
        <v>44369</v>
      </c>
      <c r="C3159" s="1" t="n">
        <v>45828</v>
      </c>
      <c r="D3159" t="inlineStr">
        <is>
          <t>JÖNKÖPINGS LÄN</t>
        </is>
      </c>
      <c r="E3159" t="inlineStr">
        <is>
          <t>NÄSSJÖ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31718-2021</t>
        </is>
      </c>
      <c r="B3160" s="1" t="n">
        <v>44369</v>
      </c>
      <c r="C3160" s="1" t="n">
        <v>45828</v>
      </c>
      <c r="D3160" t="inlineStr">
        <is>
          <t>JÖNKÖPINGS LÄN</t>
        </is>
      </c>
      <c r="E3160" t="inlineStr">
        <is>
          <t>SÄVSJÖ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31851-2021</t>
        </is>
      </c>
      <c r="B3161" s="1" t="n">
        <v>44370</v>
      </c>
      <c r="C3161" s="1" t="n">
        <v>45828</v>
      </c>
      <c r="D3161" t="inlineStr">
        <is>
          <t>JÖNKÖPINGS LÄN</t>
        </is>
      </c>
      <c r="E3161" t="inlineStr">
        <is>
          <t>SÄVSJÖ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31886-2021</t>
        </is>
      </c>
      <c r="B3162" s="1" t="n">
        <v>44370</v>
      </c>
      <c r="C3162" s="1" t="n">
        <v>45828</v>
      </c>
      <c r="D3162" t="inlineStr">
        <is>
          <t>JÖNKÖPINGS LÄN</t>
        </is>
      </c>
      <c r="E3162" t="inlineStr">
        <is>
          <t>SÄVSJÖ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31897-2021</t>
        </is>
      </c>
      <c r="B3163" s="1" t="n">
        <v>44370</v>
      </c>
      <c r="C3163" s="1" t="n">
        <v>45828</v>
      </c>
      <c r="D3163" t="inlineStr">
        <is>
          <t>JÖNKÖPINGS LÄN</t>
        </is>
      </c>
      <c r="E3163" t="inlineStr">
        <is>
          <t>SÄVSJÖ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31910-2021</t>
        </is>
      </c>
      <c r="B3164" s="1" t="n">
        <v>44370</v>
      </c>
      <c r="C3164" s="1" t="n">
        <v>45828</v>
      </c>
      <c r="D3164" t="inlineStr">
        <is>
          <t>JÖNKÖPINGS LÄN</t>
        </is>
      </c>
      <c r="E3164" t="inlineStr">
        <is>
          <t>SÄVSJÖ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31909-2021</t>
        </is>
      </c>
      <c r="B3165" s="1" t="n">
        <v>44370</v>
      </c>
      <c r="C3165" s="1" t="n">
        <v>45828</v>
      </c>
      <c r="D3165" t="inlineStr">
        <is>
          <t>JÖNKÖPINGS LÄN</t>
        </is>
      </c>
      <c r="E3165" t="inlineStr">
        <is>
          <t>SÄVSJÖ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31914-2021</t>
        </is>
      </c>
      <c r="B3166" s="1" t="n">
        <v>44370</v>
      </c>
      <c r="C3166" s="1" t="n">
        <v>45828</v>
      </c>
      <c r="D3166" t="inlineStr">
        <is>
          <t>JÖNKÖPINGS LÄN</t>
        </is>
      </c>
      <c r="E3166" t="inlineStr">
        <is>
          <t>SÄVSJÖ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31907-2021</t>
        </is>
      </c>
      <c r="B3167" s="1" t="n">
        <v>44370</v>
      </c>
      <c r="C3167" s="1" t="n">
        <v>45828</v>
      </c>
      <c r="D3167" t="inlineStr">
        <is>
          <t>JÖNKÖPINGS LÄN</t>
        </is>
      </c>
      <c r="E3167" t="inlineStr">
        <is>
          <t>SÄVSJÖ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31872-2021</t>
        </is>
      </c>
      <c r="B3168" s="1" t="n">
        <v>44370</v>
      </c>
      <c r="C3168" s="1" t="n">
        <v>45828</v>
      </c>
      <c r="D3168" t="inlineStr">
        <is>
          <t>JÖNKÖPINGS LÄN</t>
        </is>
      </c>
      <c r="E3168" t="inlineStr">
        <is>
          <t>SÄVSJÖ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31901-2021</t>
        </is>
      </c>
      <c r="B3169" s="1" t="n">
        <v>44370</v>
      </c>
      <c r="C3169" s="1" t="n">
        <v>45828</v>
      </c>
      <c r="D3169" t="inlineStr">
        <is>
          <t>JÖNKÖPINGS LÄN</t>
        </is>
      </c>
      <c r="E3169" t="inlineStr">
        <is>
          <t>SÄVSJÖ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32011-2021</t>
        </is>
      </c>
      <c r="B3170" s="1" t="n">
        <v>44370</v>
      </c>
      <c r="C3170" s="1" t="n">
        <v>45828</v>
      </c>
      <c r="D3170" t="inlineStr">
        <is>
          <t>JÖNKÖPINGS LÄN</t>
        </is>
      </c>
      <c r="E3170" t="inlineStr">
        <is>
          <t>SÄVSJÖ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32060-2021</t>
        </is>
      </c>
      <c r="B3171" s="1" t="n">
        <v>44370</v>
      </c>
      <c r="C3171" s="1" t="n">
        <v>45828</v>
      </c>
      <c r="D3171" t="inlineStr">
        <is>
          <t>JÖNKÖPINGS LÄN</t>
        </is>
      </c>
      <c r="E3171" t="inlineStr">
        <is>
          <t>NÄSSJÖ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32242-2021</t>
        </is>
      </c>
      <c r="B3172" s="1" t="n">
        <v>44371</v>
      </c>
      <c r="C3172" s="1" t="n">
        <v>45828</v>
      </c>
      <c r="D3172" t="inlineStr">
        <is>
          <t>JÖNKÖPINGS LÄN</t>
        </is>
      </c>
      <c r="E3172" t="inlineStr">
        <is>
          <t>NÄSSJÖ</t>
        </is>
      </c>
      <c r="F3172" t="inlineStr">
        <is>
          <t>Kommuner</t>
        </is>
      </c>
      <c r="G3172" t="n">
        <v>5.6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32338-2021</t>
        </is>
      </c>
      <c r="B3173" s="1" t="n">
        <v>44371</v>
      </c>
      <c r="C3173" s="1" t="n">
        <v>45828</v>
      </c>
      <c r="D3173" t="inlineStr">
        <is>
          <t>JÖNKÖPINGS LÄN</t>
        </is>
      </c>
      <c r="E3173" t="inlineStr">
        <is>
          <t>GISLAVED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32116-2021</t>
        </is>
      </c>
      <c r="B3174" s="1" t="n">
        <v>44371</v>
      </c>
      <c r="C3174" s="1" t="n">
        <v>45828</v>
      </c>
      <c r="D3174" t="inlineStr">
        <is>
          <t>JÖNKÖPINGS LÄN</t>
        </is>
      </c>
      <c r="E3174" t="inlineStr">
        <is>
          <t>JÖNKÖPING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32151-2021</t>
        </is>
      </c>
      <c r="B3175" s="1" t="n">
        <v>44371</v>
      </c>
      <c r="C3175" s="1" t="n">
        <v>45828</v>
      </c>
      <c r="D3175" t="inlineStr">
        <is>
          <t>JÖNKÖPINGS LÄN</t>
        </is>
      </c>
      <c r="E3175" t="inlineStr">
        <is>
          <t>JÖNKÖPING</t>
        </is>
      </c>
      <c r="F3175" t="inlineStr">
        <is>
          <t>Sveaskog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32294-2021</t>
        </is>
      </c>
      <c r="B3176" s="1" t="n">
        <v>44371</v>
      </c>
      <c r="C3176" s="1" t="n">
        <v>45828</v>
      </c>
      <c r="D3176" t="inlineStr">
        <is>
          <t>JÖNKÖPINGS LÄN</t>
        </is>
      </c>
      <c r="E3176" t="inlineStr">
        <is>
          <t>TRANÅS</t>
        </is>
      </c>
      <c r="F3176" t="inlineStr">
        <is>
          <t>Kyrkan</t>
        </is>
      </c>
      <c r="G3176" t="n">
        <v>5.3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32113-2021</t>
        </is>
      </c>
      <c r="B3177" s="1" t="n">
        <v>44371</v>
      </c>
      <c r="C3177" s="1" t="n">
        <v>45828</v>
      </c>
      <c r="D3177" t="inlineStr">
        <is>
          <t>JÖNKÖPINGS LÄN</t>
        </is>
      </c>
      <c r="E3177" t="inlineStr">
        <is>
          <t>JÖNKÖPING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32305-2021</t>
        </is>
      </c>
      <c r="B3178" s="1" t="n">
        <v>44371</v>
      </c>
      <c r="C3178" s="1" t="n">
        <v>45828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32417-2021</t>
        </is>
      </c>
      <c r="B3179" s="1" t="n">
        <v>44371</v>
      </c>
      <c r="C3179" s="1" t="n">
        <v>45828</v>
      </c>
      <c r="D3179" t="inlineStr">
        <is>
          <t>JÖNKÖPINGS LÄN</t>
        </is>
      </c>
      <c r="E3179" t="inlineStr">
        <is>
          <t>VETLANDA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32581-2021</t>
        </is>
      </c>
      <c r="B3180" s="1" t="n">
        <v>44371</v>
      </c>
      <c r="C3180" s="1" t="n">
        <v>45828</v>
      </c>
      <c r="D3180" t="inlineStr">
        <is>
          <t>JÖNKÖPINGS LÄN</t>
        </is>
      </c>
      <c r="E3180" t="inlineStr">
        <is>
          <t>VETLANDA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32441-2021</t>
        </is>
      </c>
      <c r="B3181" s="1" t="n">
        <v>44371</v>
      </c>
      <c r="C3181" s="1" t="n">
        <v>45828</v>
      </c>
      <c r="D3181" t="inlineStr">
        <is>
          <t>JÖNKÖPINGS LÄN</t>
        </is>
      </c>
      <c r="E3181" t="inlineStr">
        <is>
          <t>GISLAVED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32421-2021</t>
        </is>
      </c>
      <c r="B3182" s="1" t="n">
        <v>44371</v>
      </c>
      <c r="C3182" s="1" t="n">
        <v>45828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32508-2021</t>
        </is>
      </c>
      <c r="B3183" s="1" t="n">
        <v>44373</v>
      </c>
      <c r="C3183" s="1" t="n">
        <v>45828</v>
      </c>
      <c r="D3183" t="inlineStr">
        <is>
          <t>JÖNKÖPINGS LÄN</t>
        </is>
      </c>
      <c r="E3183" t="inlineStr">
        <is>
          <t>JÖNKÖPING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32509-2021</t>
        </is>
      </c>
      <c r="B3184" s="1" t="n">
        <v>44373</v>
      </c>
      <c r="C3184" s="1" t="n">
        <v>45828</v>
      </c>
      <c r="D3184" t="inlineStr">
        <is>
          <t>JÖNKÖPINGS LÄN</t>
        </is>
      </c>
      <c r="E3184" t="inlineStr">
        <is>
          <t>JÖNKÖPING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32523-2021</t>
        </is>
      </c>
      <c r="B3185" s="1" t="n">
        <v>44374</v>
      </c>
      <c r="C3185" s="1" t="n">
        <v>45828</v>
      </c>
      <c r="D3185" t="inlineStr">
        <is>
          <t>JÖNKÖPINGS LÄN</t>
        </is>
      </c>
      <c r="E3185" t="inlineStr">
        <is>
          <t>SÄVSJÖ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32649-2021</t>
        </is>
      </c>
      <c r="B3186" s="1" t="n">
        <v>44375</v>
      </c>
      <c r="C3186" s="1" t="n">
        <v>45828</v>
      </c>
      <c r="D3186" t="inlineStr">
        <is>
          <t>JÖNKÖPINGS LÄN</t>
        </is>
      </c>
      <c r="E3186" t="inlineStr">
        <is>
          <t>JÖNKÖPING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32683-2021</t>
        </is>
      </c>
      <c r="B3187" s="1" t="n">
        <v>44375</v>
      </c>
      <c r="C3187" s="1" t="n">
        <v>45828</v>
      </c>
      <c r="D3187" t="inlineStr">
        <is>
          <t>JÖNKÖPINGS LÄN</t>
        </is>
      </c>
      <c r="E3187" t="inlineStr">
        <is>
          <t>NÄSSJÖ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32880-2021</t>
        </is>
      </c>
      <c r="B3188" s="1" t="n">
        <v>44375</v>
      </c>
      <c r="C3188" s="1" t="n">
        <v>45828</v>
      </c>
      <c r="D3188" t="inlineStr">
        <is>
          <t>JÖNKÖPINGS LÄN</t>
        </is>
      </c>
      <c r="E3188" t="inlineStr">
        <is>
          <t>MULLSJÖ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32814-2021</t>
        </is>
      </c>
      <c r="B3189" s="1" t="n">
        <v>44375</v>
      </c>
      <c r="C3189" s="1" t="n">
        <v>45828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32826-2021</t>
        </is>
      </c>
      <c r="B3190" s="1" t="n">
        <v>44375</v>
      </c>
      <c r="C3190" s="1" t="n">
        <v>45828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32854-2021</t>
        </is>
      </c>
      <c r="B3191" s="1" t="n">
        <v>44375</v>
      </c>
      <c r="C3191" s="1" t="n">
        <v>45828</v>
      </c>
      <c r="D3191" t="inlineStr">
        <is>
          <t>JÖNKÖPINGS LÄN</t>
        </is>
      </c>
      <c r="E3191" t="inlineStr">
        <is>
          <t>EKSJÖ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32871-2021</t>
        </is>
      </c>
      <c r="B3192" s="1" t="n">
        <v>44375</v>
      </c>
      <c r="C3192" s="1" t="n">
        <v>45828</v>
      </c>
      <c r="D3192" t="inlineStr">
        <is>
          <t>JÖNKÖPINGS LÄN</t>
        </is>
      </c>
      <c r="E3192" t="inlineStr">
        <is>
          <t>TRANÅS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32859-2021</t>
        </is>
      </c>
      <c r="B3193" s="1" t="n">
        <v>44375</v>
      </c>
      <c r="C3193" s="1" t="n">
        <v>45828</v>
      </c>
      <c r="D3193" t="inlineStr">
        <is>
          <t>JÖNKÖPINGS LÄN</t>
        </is>
      </c>
      <c r="E3193" t="inlineStr">
        <is>
          <t>VETLANDA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33026-2021</t>
        </is>
      </c>
      <c r="B3194" s="1" t="n">
        <v>44376</v>
      </c>
      <c r="C3194" s="1" t="n">
        <v>45828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33100-2021</t>
        </is>
      </c>
      <c r="B3195" s="1" t="n">
        <v>44376</v>
      </c>
      <c r="C3195" s="1" t="n">
        <v>45828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33124-2021</t>
        </is>
      </c>
      <c r="B3196" s="1" t="n">
        <v>44376</v>
      </c>
      <c r="C3196" s="1" t="n">
        <v>45828</v>
      </c>
      <c r="D3196" t="inlineStr">
        <is>
          <t>JÖNKÖPINGS LÄN</t>
        </is>
      </c>
      <c r="E3196" t="inlineStr">
        <is>
          <t>JÖNKÖPING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33101-2021</t>
        </is>
      </c>
      <c r="B3197" s="1" t="n">
        <v>44376</v>
      </c>
      <c r="C3197" s="1" t="n">
        <v>45828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6.5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33255-2021</t>
        </is>
      </c>
      <c r="B3198" s="1" t="n">
        <v>44377</v>
      </c>
      <c r="C3198" s="1" t="n">
        <v>45828</v>
      </c>
      <c r="D3198" t="inlineStr">
        <is>
          <t>JÖNKÖPINGS LÄN</t>
        </is>
      </c>
      <c r="E3198" t="inlineStr">
        <is>
          <t>ANEBY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33396-2021</t>
        </is>
      </c>
      <c r="B3199" s="1" t="n">
        <v>44377</v>
      </c>
      <c r="C3199" s="1" t="n">
        <v>45828</v>
      </c>
      <c r="D3199" t="inlineStr">
        <is>
          <t>JÖNKÖPINGS LÄN</t>
        </is>
      </c>
      <c r="E3199" t="inlineStr">
        <is>
          <t>EKSJÖ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33428-2021</t>
        </is>
      </c>
      <c r="B3200" s="1" t="n">
        <v>44377</v>
      </c>
      <c r="C3200" s="1" t="n">
        <v>45828</v>
      </c>
      <c r="D3200" t="inlineStr">
        <is>
          <t>JÖNKÖPINGS LÄN</t>
        </is>
      </c>
      <c r="E3200" t="inlineStr">
        <is>
          <t>VÄRNAMO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33451-2021</t>
        </is>
      </c>
      <c r="B3201" s="1" t="n">
        <v>44377</v>
      </c>
      <c r="C3201" s="1" t="n">
        <v>45828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33507-2021</t>
        </is>
      </c>
      <c r="B3202" s="1" t="n">
        <v>44377</v>
      </c>
      <c r="C3202" s="1" t="n">
        <v>45828</v>
      </c>
      <c r="D3202" t="inlineStr">
        <is>
          <t>JÖNKÖPINGS LÄN</t>
        </is>
      </c>
      <c r="E3202" t="inlineStr">
        <is>
          <t>JÖNKÖPING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33504-2021</t>
        </is>
      </c>
      <c r="B3203" s="1" t="n">
        <v>44377</v>
      </c>
      <c r="C3203" s="1" t="n">
        <v>45828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Kyrkan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33449-2021</t>
        </is>
      </c>
      <c r="B3204" s="1" t="n">
        <v>44377</v>
      </c>
      <c r="C3204" s="1" t="n">
        <v>45828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33508-2021</t>
        </is>
      </c>
      <c r="B3205" s="1" t="n">
        <v>44377</v>
      </c>
      <c r="C3205" s="1" t="n">
        <v>45828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33514-2021</t>
        </is>
      </c>
      <c r="B3206" s="1" t="n">
        <v>44377</v>
      </c>
      <c r="C3206" s="1" t="n">
        <v>45828</v>
      </c>
      <c r="D3206" t="inlineStr">
        <is>
          <t>JÖNKÖPINGS LÄN</t>
        </is>
      </c>
      <c r="E3206" t="inlineStr">
        <is>
          <t>SÄVSJÖ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33631-2021</t>
        </is>
      </c>
      <c r="B3207" s="1" t="n">
        <v>44378</v>
      </c>
      <c r="C3207" s="1" t="n">
        <v>45828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33665-2021</t>
        </is>
      </c>
      <c r="B3208" s="1" t="n">
        <v>44378</v>
      </c>
      <c r="C3208" s="1" t="n">
        <v>45828</v>
      </c>
      <c r="D3208" t="inlineStr">
        <is>
          <t>JÖNKÖPINGS LÄN</t>
        </is>
      </c>
      <c r="E3208" t="inlineStr">
        <is>
          <t>GISLAVED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33662-2021</t>
        </is>
      </c>
      <c r="B3209" s="1" t="n">
        <v>44378</v>
      </c>
      <c r="C3209" s="1" t="n">
        <v>45828</v>
      </c>
      <c r="D3209" t="inlineStr">
        <is>
          <t>JÖNKÖPINGS LÄN</t>
        </is>
      </c>
      <c r="E3209" t="inlineStr">
        <is>
          <t>GISLAVED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33616-2021</t>
        </is>
      </c>
      <c r="B3210" s="1" t="n">
        <v>44378</v>
      </c>
      <c r="C3210" s="1" t="n">
        <v>45828</v>
      </c>
      <c r="D3210" t="inlineStr">
        <is>
          <t>JÖNKÖPINGS LÄN</t>
        </is>
      </c>
      <c r="E3210" t="inlineStr">
        <is>
          <t>GISLAVED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33637-2021</t>
        </is>
      </c>
      <c r="B3211" s="1" t="n">
        <v>44378</v>
      </c>
      <c r="C3211" s="1" t="n">
        <v>45828</v>
      </c>
      <c r="D3211" t="inlineStr">
        <is>
          <t>JÖNKÖPINGS LÄN</t>
        </is>
      </c>
      <c r="E3211" t="inlineStr">
        <is>
          <t>GISLAVED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33761-2021</t>
        </is>
      </c>
      <c r="B3212" s="1" t="n">
        <v>44378</v>
      </c>
      <c r="C3212" s="1" t="n">
        <v>45828</v>
      </c>
      <c r="D3212" t="inlineStr">
        <is>
          <t>JÖNKÖPINGS LÄN</t>
        </is>
      </c>
      <c r="E3212" t="inlineStr">
        <is>
          <t>NÄSSJÖ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33660-2021</t>
        </is>
      </c>
      <c r="B3213" s="1" t="n">
        <v>44378</v>
      </c>
      <c r="C3213" s="1" t="n">
        <v>45828</v>
      </c>
      <c r="D3213" t="inlineStr">
        <is>
          <t>JÖNKÖPINGS LÄN</t>
        </is>
      </c>
      <c r="E3213" t="inlineStr">
        <is>
          <t>GISLAVED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33928-2021</t>
        </is>
      </c>
      <c r="B3214" s="1" t="n">
        <v>44378</v>
      </c>
      <c r="C3214" s="1" t="n">
        <v>45828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33936-2021</t>
        </is>
      </c>
      <c r="B3215" s="1" t="n">
        <v>44378</v>
      </c>
      <c r="C3215" s="1" t="n">
        <v>45828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34070-2021</t>
        </is>
      </c>
      <c r="B3216" s="1" t="n">
        <v>44379</v>
      </c>
      <c r="C3216" s="1" t="n">
        <v>45828</v>
      </c>
      <c r="D3216" t="inlineStr">
        <is>
          <t>JÖNKÖPINGS LÄN</t>
        </is>
      </c>
      <c r="E3216" t="inlineStr">
        <is>
          <t>VAGGERYD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34066-2021</t>
        </is>
      </c>
      <c r="B3217" s="1" t="n">
        <v>44379</v>
      </c>
      <c r="C3217" s="1" t="n">
        <v>45828</v>
      </c>
      <c r="D3217" t="inlineStr">
        <is>
          <t>JÖNKÖPINGS LÄN</t>
        </is>
      </c>
      <c r="E3217" t="inlineStr">
        <is>
          <t>VAGGERYD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34078-2021</t>
        </is>
      </c>
      <c r="B3218" s="1" t="n">
        <v>44379</v>
      </c>
      <c r="C3218" s="1" t="n">
        <v>45828</v>
      </c>
      <c r="D3218" t="inlineStr">
        <is>
          <t>JÖNKÖPINGS LÄN</t>
        </is>
      </c>
      <c r="E3218" t="inlineStr">
        <is>
          <t>VAGGERYD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34005-2021</t>
        </is>
      </c>
      <c r="B3219" s="1" t="n">
        <v>44379</v>
      </c>
      <c r="C3219" s="1" t="n">
        <v>45828</v>
      </c>
      <c r="D3219" t="inlineStr">
        <is>
          <t>JÖNKÖPINGS LÄN</t>
        </is>
      </c>
      <c r="E3219" t="inlineStr">
        <is>
          <t>NÄSSJÖ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34069-2021</t>
        </is>
      </c>
      <c r="B3220" s="1" t="n">
        <v>44379</v>
      </c>
      <c r="C3220" s="1" t="n">
        <v>45828</v>
      </c>
      <c r="D3220" t="inlineStr">
        <is>
          <t>JÖNKÖPINGS LÄN</t>
        </is>
      </c>
      <c r="E3220" t="inlineStr">
        <is>
          <t>VAGGERYD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34075-2021</t>
        </is>
      </c>
      <c r="B3221" s="1" t="n">
        <v>44379</v>
      </c>
      <c r="C3221" s="1" t="n">
        <v>45828</v>
      </c>
      <c r="D3221" t="inlineStr">
        <is>
          <t>JÖNKÖPINGS LÄN</t>
        </is>
      </c>
      <c r="E3221" t="inlineStr">
        <is>
          <t>VAGGERYD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34225-2021</t>
        </is>
      </c>
      <c r="B3222" s="1" t="n">
        <v>44379</v>
      </c>
      <c r="C3222" s="1" t="n">
        <v>45828</v>
      </c>
      <c r="D3222" t="inlineStr">
        <is>
          <t>JÖNKÖPINGS LÄN</t>
        </is>
      </c>
      <c r="E3222" t="inlineStr">
        <is>
          <t>GISLAVED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34364-2021</t>
        </is>
      </c>
      <c r="B3223" s="1" t="n">
        <v>44379</v>
      </c>
      <c r="C3223" s="1" t="n">
        <v>45828</v>
      </c>
      <c r="D3223" t="inlineStr">
        <is>
          <t>JÖNKÖPINGS LÄN</t>
        </is>
      </c>
      <c r="E3223" t="inlineStr">
        <is>
          <t>VETLANDA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34374-2021</t>
        </is>
      </c>
      <c r="B3224" s="1" t="n">
        <v>44379</v>
      </c>
      <c r="C3224" s="1" t="n">
        <v>45828</v>
      </c>
      <c r="D3224" t="inlineStr">
        <is>
          <t>JÖNKÖPINGS LÄN</t>
        </is>
      </c>
      <c r="E3224" t="inlineStr">
        <is>
          <t>NÄSSJÖ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34418-2021</t>
        </is>
      </c>
      <c r="B3225" s="1" t="n">
        <v>44380</v>
      </c>
      <c r="C3225" s="1" t="n">
        <v>45828</v>
      </c>
      <c r="D3225" t="inlineStr">
        <is>
          <t>JÖNKÖPINGS LÄN</t>
        </is>
      </c>
      <c r="E3225" t="inlineStr">
        <is>
          <t>NÄSSJÖ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34415-2021</t>
        </is>
      </c>
      <c r="B3226" s="1" t="n">
        <v>44380</v>
      </c>
      <c r="C3226" s="1" t="n">
        <v>45828</v>
      </c>
      <c r="D3226" t="inlineStr">
        <is>
          <t>JÖNKÖPINGS LÄN</t>
        </is>
      </c>
      <c r="E3226" t="inlineStr">
        <is>
          <t>NÄSSJÖ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34416-2021</t>
        </is>
      </c>
      <c r="B3227" s="1" t="n">
        <v>44380</v>
      </c>
      <c r="C3227" s="1" t="n">
        <v>45828</v>
      </c>
      <c r="D3227" t="inlineStr">
        <is>
          <t>JÖNKÖPINGS LÄN</t>
        </is>
      </c>
      <c r="E3227" t="inlineStr">
        <is>
          <t>NÄSSJÖ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34451-2021</t>
        </is>
      </c>
      <c r="B3228" s="1" t="n">
        <v>44381</v>
      </c>
      <c r="C3228" s="1" t="n">
        <v>45828</v>
      </c>
      <c r="D3228" t="inlineStr">
        <is>
          <t>JÖNKÖPINGS LÄN</t>
        </is>
      </c>
      <c r="E3228" t="inlineStr">
        <is>
          <t>VÄRNAMO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34491-2021</t>
        </is>
      </c>
      <c r="B3229" s="1" t="n">
        <v>44382</v>
      </c>
      <c r="C3229" s="1" t="n">
        <v>45828</v>
      </c>
      <c r="D3229" t="inlineStr">
        <is>
          <t>JÖNKÖPINGS LÄN</t>
        </is>
      </c>
      <c r="E3229" t="inlineStr">
        <is>
          <t>JÖNKÖPING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34506-2021</t>
        </is>
      </c>
      <c r="B3230" s="1" t="n">
        <v>44382</v>
      </c>
      <c r="C3230" s="1" t="n">
        <v>45828</v>
      </c>
      <c r="D3230" t="inlineStr">
        <is>
          <t>JÖNKÖPINGS LÄN</t>
        </is>
      </c>
      <c r="E3230" t="inlineStr">
        <is>
          <t>VAGGERYD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34554-2021</t>
        </is>
      </c>
      <c r="B3231" s="1" t="n">
        <v>44382</v>
      </c>
      <c r="C3231" s="1" t="n">
        <v>45828</v>
      </c>
      <c r="D3231" t="inlineStr">
        <is>
          <t>JÖNKÖPINGS LÄN</t>
        </is>
      </c>
      <c r="E3231" t="inlineStr">
        <is>
          <t>JÖNKÖPING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34508-2021</t>
        </is>
      </c>
      <c r="B3232" s="1" t="n">
        <v>44382</v>
      </c>
      <c r="C3232" s="1" t="n">
        <v>45828</v>
      </c>
      <c r="D3232" t="inlineStr">
        <is>
          <t>JÖNKÖPINGS LÄN</t>
        </is>
      </c>
      <c r="E3232" t="inlineStr">
        <is>
          <t>VAGGERYD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34517-2021</t>
        </is>
      </c>
      <c r="B3233" s="1" t="n">
        <v>44382</v>
      </c>
      <c r="C3233" s="1" t="n">
        <v>45828</v>
      </c>
      <c r="D3233" t="inlineStr">
        <is>
          <t>JÖNKÖPINGS LÄN</t>
        </is>
      </c>
      <c r="E3233" t="inlineStr">
        <is>
          <t>VETLANDA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34734-2021</t>
        </is>
      </c>
      <c r="B3234" s="1" t="n">
        <v>44382</v>
      </c>
      <c r="C3234" s="1" t="n">
        <v>45828</v>
      </c>
      <c r="D3234" t="inlineStr">
        <is>
          <t>JÖNKÖPINGS LÄN</t>
        </is>
      </c>
      <c r="E3234" t="inlineStr">
        <is>
          <t>HABO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34683-2021</t>
        </is>
      </c>
      <c r="B3235" s="1" t="n">
        <v>44382</v>
      </c>
      <c r="C3235" s="1" t="n">
        <v>45828</v>
      </c>
      <c r="D3235" t="inlineStr">
        <is>
          <t>JÖNKÖPINGS LÄN</t>
        </is>
      </c>
      <c r="E3235" t="inlineStr">
        <is>
          <t>NÄSSJÖ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34738-2021</t>
        </is>
      </c>
      <c r="B3236" s="1" t="n">
        <v>44382</v>
      </c>
      <c r="C3236" s="1" t="n">
        <v>45828</v>
      </c>
      <c r="D3236" t="inlineStr">
        <is>
          <t>JÖNKÖPINGS LÄN</t>
        </is>
      </c>
      <c r="E3236" t="inlineStr">
        <is>
          <t>HABO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34921-2021</t>
        </is>
      </c>
      <c r="B3237" s="1" t="n">
        <v>44383</v>
      </c>
      <c r="C3237" s="1" t="n">
        <v>45828</v>
      </c>
      <c r="D3237" t="inlineStr">
        <is>
          <t>JÖNKÖPINGS LÄN</t>
        </is>
      </c>
      <c r="E3237" t="inlineStr">
        <is>
          <t>VETLANDA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35030-2021</t>
        </is>
      </c>
      <c r="B3238" s="1" t="n">
        <v>44383</v>
      </c>
      <c r="C3238" s="1" t="n">
        <v>45828</v>
      </c>
      <c r="D3238" t="inlineStr">
        <is>
          <t>JÖNKÖPINGS LÄN</t>
        </is>
      </c>
      <c r="E3238" t="inlineStr">
        <is>
          <t>NÄSSJÖ</t>
        </is>
      </c>
      <c r="G3238" t="n">
        <v>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35026-2021</t>
        </is>
      </c>
      <c r="B3239" s="1" t="n">
        <v>44383</v>
      </c>
      <c r="C3239" s="1" t="n">
        <v>45828</v>
      </c>
      <c r="D3239" t="inlineStr">
        <is>
          <t>JÖNKÖPINGS LÄN</t>
        </is>
      </c>
      <c r="E3239" t="inlineStr">
        <is>
          <t>VAGGERYD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35083-2021</t>
        </is>
      </c>
      <c r="B3240" s="1" t="n">
        <v>44383</v>
      </c>
      <c r="C3240" s="1" t="n">
        <v>45828</v>
      </c>
      <c r="D3240" t="inlineStr">
        <is>
          <t>JÖNKÖPINGS LÄN</t>
        </is>
      </c>
      <c r="E3240" t="inlineStr">
        <is>
          <t>NÄSSJÖ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35115-2021</t>
        </is>
      </c>
      <c r="B3241" s="1" t="n">
        <v>44384</v>
      </c>
      <c r="C3241" s="1" t="n">
        <v>45828</v>
      </c>
      <c r="D3241" t="inlineStr">
        <is>
          <t>JÖNKÖPINGS LÄN</t>
        </is>
      </c>
      <c r="E3241" t="inlineStr">
        <is>
          <t>HABO</t>
        </is>
      </c>
      <c r="G3241" t="n">
        <v>8.4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35298-2021</t>
        </is>
      </c>
      <c r="B3242" s="1" t="n">
        <v>44384</v>
      </c>
      <c r="C3242" s="1" t="n">
        <v>45828</v>
      </c>
      <c r="D3242" t="inlineStr">
        <is>
          <t>JÖNKÖPINGS LÄN</t>
        </is>
      </c>
      <c r="E3242" t="inlineStr">
        <is>
          <t>EKSJÖ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35473-2021</t>
        </is>
      </c>
      <c r="B3243" s="1" t="n">
        <v>44384</v>
      </c>
      <c r="C3243" s="1" t="n">
        <v>45828</v>
      </c>
      <c r="D3243" t="inlineStr">
        <is>
          <t>JÖNKÖPINGS LÄN</t>
        </is>
      </c>
      <c r="E3243" t="inlineStr">
        <is>
          <t>VETLANDA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35458-2021</t>
        </is>
      </c>
      <c r="B3244" s="1" t="n">
        <v>44385</v>
      </c>
      <c r="C3244" s="1" t="n">
        <v>45828</v>
      </c>
      <c r="D3244" t="inlineStr">
        <is>
          <t>JÖNKÖPINGS LÄN</t>
        </is>
      </c>
      <c r="E3244" t="inlineStr">
        <is>
          <t>VETLANDA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35730-2021</t>
        </is>
      </c>
      <c r="B3245" s="1" t="n">
        <v>44385</v>
      </c>
      <c r="C3245" s="1" t="n">
        <v>45828</v>
      </c>
      <c r="D3245" t="inlineStr">
        <is>
          <t>JÖNKÖPINGS LÄN</t>
        </is>
      </c>
      <c r="E3245" t="inlineStr">
        <is>
          <t>VÄRNAMO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35694-2021</t>
        </is>
      </c>
      <c r="B3246" s="1" t="n">
        <v>44386</v>
      </c>
      <c r="C3246" s="1" t="n">
        <v>45828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35654-2021</t>
        </is>
      </c>
      <c r="B3247" s="1" t="n">
        <v>44386</v>
      </c>
      <c r="C3247" s="1" t="n">
        <v>45828</v>
      </c>
      <c r="D3247" t="inlineStr">
        <is>
          <t>JÖNKÖPINGS LÄN</t>
        </is>
      </c>
      <c r="E3247" t="inlineStr">
        <is>
          <t>SÄVSJÖ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35693-2021</t>
        </is>
      </c>
      <c r="B3248" s="1" t="n">
        <v>44386</v>
      </c>
      <c r="C3248" s="1" t="n">
        <v>45828</v>
      </c>
      <c r="D3248" t="inlineStr">
        <is>
          <t>JÖNKÖPINGS LÄN</t>
        </is>
      </c>
      <c r="E3248" t="inlineStr">
        <is>
          <t>ANEBY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35729-2021</t>
        </is>
      </c>
      <c r="B3249" s="1" t="n">
        <v>44386</v>
      </c>
      <c r="C3249" s="1" t="n">
        <v>45828</v>
      </c>
      <c r="D3249" t="inlineStr">
        <is>
          <t>JÖNKÖPINGS LÄN</t>
        </is>
      </c>
      <c r="E3249" t="inlineStr">
        <is>
          <t>VETLANDA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35688-2021</t>
        </is>
      </c>
      <c r="B3250" s="1" t="n">
        <v>44386</v>
      </c>
      <c r="C3250" s="1" t="n">
        <v>45828</v>
      </c>
      <c r="D3250" t="inlineStr">
        <is>
          <t>JÖNKÖPINGS LÄN</t>
        </is>
      </c>
      <c r="E3250" t="inlineStr">
        <is>
          <t>ANEBY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35696-2021</t>
        </is>
      </c>
      <c r="B3251" s="1" t="n">
        <v>44386</v>
      </c>
      <c r="C3251" s="1" t="n">
        <v>45828</v>
      </c>
      <c r="D3251" t="inlineStr">
        <is>
          <t>JÖNKÖPINGS LÄN</t>
        </is>
      </c>
      <c r="E3251" t="inlineStr">
        <is>
          <t>TRANÅS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35691-2021</t>
        </is>
      </c>
      <c r="B3252" s="1" t="n">
        <v>44386</v>
      </c>
      <c r="C3252" s="1" t="n">
        <v>45828</v>
      </c>
      <c r="D3252" t="inlineStr">
        <is>
          <t>JÖNKÖPINGS LÄN</t>
        </is>
      </c>
      <c r="E3252" t="inlineStr">
        <is>
          <t>TRANÅS</t>
        </is>
      </c>
      <c r="G3252" t="n">
        <v>8.5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35840-2021</t>
        </is>
      </c>
      <c r="B3253" s="1" t="n">
        <v>44386</v>
      </c>
      <c r="C3253" s="1" t="n">
        <v>45828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35820-2021</t>
        </is>
      </c>
      <c r="B3254" s="1" t="n">
        <v>44386</v>
      </c>
      <c r="C3254" s="1" t="n">
        <v>45828</v>
      </c>
      <c r="D3254" t="inlineStr">
        <is>
          <t>JÖNKÖPINGS LÄN</t>
        </is>
      </c>
      <c r="E3254" t="inlineStr">
        <is>
          <t>NÄSSJÖ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35839-2021</t>
        </is>
      </c>
      <c r="B3255" s="1" t="n">
        <v>44386</v>
      </c>
      <c r="C3255" s="1" t="n">
        <v>45828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35880-2021</t>
        </is>
      </c>
      <c r="B3256" s="1" t="n">
        <v>44387</v>
      </c>
      <c r="C3256" s="1" t="n">
        <v>45828</v>
      </c>
      <c r="D3256" t="inlineStr">
        <is>
          <t>JÖNKÖPINGS LÄN</t>
        </is>
      </c>
      <c r="E3256" t="inlineStr">
        <is>
          <t>NÄSSJÖ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36216-2021</t>
        </is>
      </c>
      <c r="B3257" s="1" t="n">
        <v>44388</v>
      </c>
      <c r="C3257" s="1" t="n">
        <v>45828</v>
      </c>
      <c r="D3257" t="inlineStr">
        <is>
          <t>JÖNKÖPINGS LÄN</t>
        </is>
      </c>
      <c r="E3257" t="inlineStr">
        <is>
          <t>VETLANDA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36068-2021</t>
        </is>
      </c>
      <c r="B3258" s="1" t="n">
        <v>44389</v>
      </c>
      <c r="C3258" s="1" t="n">
        <v>45828</v>
      </c>
      <c r="D3258" t="inlineStr">
        <is>
          <t>JÖNKÖPINGS LÄN</t>
        </is>
      </c>
      <c r="E3258" t="inlineStr">
        <is>
          <t>GISLAVED</t>
        </is>
      </c>
      <c r="G3258" t="n">
        <v>5.6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36145-2021</t>
        </is>
      </c>
      <c r="B3259" s="1" t="n">
        <v>44389</v>
      </c>
      <c r="C3259" s="1" t="n">
        <v>45828</v>
      </c>
      <c r="D3259" t="inlineStr">
        <is>
          <t>JÖNKÖPINGS LÄN</t>
        </is>
      </c>
      <c r="E3259" t="inlineStr">
        <is>
          <t>GISLAVED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36344-2021</t>
        </is>
      </c>
      <c r="B3260" s="1" t="n">
        <v>44389</v>
      </c>
      <c r="C3260" s="1" t="n">
        <v>45828</v>
      </c>
      <c r="D3260" t="inlineStr">
        <is>
          <t>JÖNKÖPINGS LÄN</t>
        </is>
      </c>
      <c r="E3260" t="inlineStr">
        <is>
          <t>NÄSSJÖ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36302-2021</t>
        </is>
      </c>
      <c r="B3261" s="1" t="n">
        <v>44390</v>
      </c>
      <c r="C3261" s="1" t="n">
        <v>45828</v>
      </c>
      <c r="D3261" t="inlineStr">
        <is>
          <t>JÖNKÖPINGS LÄN</t>
        </is>
      </c>
      <c r="E3261" t="inlineStr">
        <is>
          <t>EKSJÖ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36334-2021</t>
        </is>
      </c>
      <c r="B3262" s="1" t="n">
        <v>44390</v>
      </c>
      <c r="C3262" s="1" t="n">
        <v>45828</v>
      </c>
      <c r="D3262" t="inlineStr">
        <is>
          <t>JÖNKÖPINGS LÄN</t>
        </is>
      </c>
      <c r="E3262" t="inlineStr">
        <is>
          <t>VETLANDA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36331-2021</t>
        </is>
      </c>
      <c r="B3263" s="1" t="n">
        <v>44390</v>
      </c>
      <c r="C3263" s="1" t="n">
        <v>45828</v>
      </c>
      <c r="D3263" t="inlineStr">
        <is>
          <t>JÖNKÖPINGS LÄN</t>
        </is>
      </c>
      <c r="E3263" t="inlineStr">
        <is>
          <t>VETLANDA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36408-2021</t>
        </is>
      </c>
      <c r="B3264" s="1" t="n">
        <v>44390</v>
      </c>
      <c r="C3264" s="1" t="n">
        <v>45828</v>
      </c>
      <c r="D3264" t="inlineStr">
        <is>
          <t>JÖNKÖPINGS LÄN</t>
        </is>
      </c>
      <c r="E3264" t="inlineStr">
        <is>
          <t>NÄSSJÖ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36414-2021</t>
        </is>
      </c>
      <c r="B3265" s="1" t="n">
        <v>44390</v>
      </c>
      <c r="C3265" s="1" t="n">
        <v>45828</v>
      </c>
      <c r="D3265" t="inlineStr">
        <is>
          <t>JÖNKÖPINGS LÄN</t>
        </is>
      </c>
      <c r="E3265" t="inlineStr">
        <is>
          <t>NÄSSJÖ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36268-2021</t>
        </is>
      </c>
      <c r="B3266" s="1" t="n">
        <v>44390</v>
      </c>
      <c r="C3266" s="1" t="n">
        <v>45828</v>
      </c>
      <c r="D3266" t="inlineStr">
        <is>
          <t>JÖNKÖPINGS LÄN</t>
        </is>
      </c>
      <c r="E3266" t="inlineStr">
        <is>
          <t>SÄVSJÖ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36332-2021</t>
        </is>
      </c>
      <c r="B3267" s="1" t="n">
        <v>44390</v>
      </c>
      <c r="C3267" s="1" t="n">
        <v>45828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36434-2021</t>
        </is>
      </c>
      <c r="B3268" s="1" t="n">
        <v>44390</v>
      </c>
      <c r="C3268" s="1" t="n">
        <v>45828</v>
      </c>
      <c r="D3268" t="inlineStr">
        <is>
          <t>JÖNKÖPINGS LÄN</t>
        </is>
      </c>
      <c r="E3268" t="inlineStr">
        <is>
          <t>SÄVSJÖ</t>
        </is>
      </c>
      <c r="G3268" t="n">
        <v>6.5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36329-2021</t>
        </is>
      </c>
      <c r="B3269" s="1" t="n">
        <v>44390</v>
      </c>
      <c r="C3269" s="1" t="n">
        <v>45828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36587-2021</t>
        </is>
      </c>
      <c r="B3270" s="1" t="n">
        <v>44391</v>
      </c>
      <c r="C3270" s="1" t="n">
        <v>45828</v>
      </c>
      <c r="D3270" t="inlineStr">
        <is>
          <t>JÖNKÖPINGS LÄN</t>
        </is>
      </c>
      <c r="E3270" t="inlineStr">
        <is>
          <t>NÄSSJÖ</t>
        </is>
      </c>
      <c r="G3270" t="n">
        <v>5.3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36599-2021</t>
        </is>
      </c>
      <c r="B3271" s="1" t="n">
        <v>44391</v>
      </c>
      <c r="C3271" s="1" t="n">
        <v>45828</v>
      </c>
      <c r="D3271" t="inlineStr">
        <is>
          <t>JÖNKÖPINGS LÄN</t>
        </is>
      </c>
      <c r="E3271" t="inlineStr">
        <is>
          <t>EKSJÖ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36580-2021</t>
        </is>
      </c>
      <c r="B3272" s="1" t="n">
        <v>44391</v>
      </c>
      <c r="C3272" s="1" t="n">
        <v>45828</v>
      </c>
      <c r="D3272" t="inlineStr">
        <is>
          <t>JÖNKÖPINGS LÄN</t>
        </is>
      </c>
      <c r="E3272" t="inlineStr">
        <is>
          <t>MULLSJÖ</t>
        </is>
      </c>
      <c r="G3272" t="n">
        <v>6.7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36626-2021</t>
        </is>
      </c>
      <c r="B3273" s="1" t="n">
        <v>44391</v>
      </c>
      <c r="C3273" s="1" t="n">
        <v>45828</v>
      </c>
      <c r="D3273" t="inlineStr">
        <is>
          <t>JÖNKÖPINGS LÄN</t>
        </is>
      </c>
      <c r="E3273" t="inlineStr">
        <is>
          <t>VETLANDA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36694-2021</t>
        </is>
      </c>
      <c r="B3274" s="1" t="n">
        <v>44392</v>
      </c>
      <c r="C3274" s="1" t="n">
        <v>45828</v>
      </c>
      <c r="D3274" t="inlineStr">
        <is>
          <t>JÖNKÖPINGS LÄN</t>
        </is>
      </c>
      <c r="E3274" t="inlineStr">
        <is>
          <t>VETLANDA</t>
        </is>
      </c>
      <c r="G3274" t="n">
        <v>4.3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36751-2021</t>
        </is>
      </c>
      <c r="B3275" s="1" t="n">
        <v>44392</v>
      </c>
      <c r="C3275" s="1" t="n">
        <v>45828</v>
      </c>
      <c r="D3275" t="inlineStr">
        <is>
          <t>JÖNKÖPINGS LÄN</t>
        </is>
      </c>
      <c r="E3275" t="inlineStr">
        <is>
          <t>VETLANDA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36692-2021</t>
        </is>
      </c>
      <c r="B3276" s="1" t="n">
        <v>44392</v>
      </c>
      <c r="C3276" s="1" t="n">
        <v>45828</v>
      </c>
      <c r="D3276" t="inlineStr">
        <is>
          <t>JÖNKÖPINGS LÄN</t>
        </is>
      </c>
      <c r="E3276" t="inlineStr">
        <is>
          <t>VETLANDA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36691-2021</t>
        </is>
      </c>
      <c r="B3277" s="1" t="n">
        <v>44392</v>
      </c>
      <c r="C3277" s="1" t="n">
        <v>45828</v>
      </c>
      <c r="D3277" t="inlineStr">
        <is>
          <t>JÖNKÖPINGS LÄN</t>
        </is>
      </c>
      <c r="E3277" t="inlineStr">
        <is>
          <t>VETLANDA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36730-2021</t>
        </is>
      </c>
      <c r="B3278" s="1" t="n">
        <v>44392</v>
      </c>
      <c r="C3278" s="1" t="n">
        <v>45828</v>
      </c>
      <c r="D3278" t="inlineStr">
        <is>
          <t>JÖNKÖPINGS LÄN</t>
        </is>
      </c>
      <c r="E3278" t="inlineStr">
        <is>
          <t>VÄRNAMO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36679-2021</t>
        </is>
      </c>
      <c r="B3279" s="1" t="n">
        <v>44392</v>
      </c>
      <c r="C3279" s="1" t="n">
        <v>45828</v>
      </c>
      <c r="D3279" t="inlineStr">
        <is>
          <t>JÖNKÖPINGS LÄN</t>
        </is>
      </c>
      <c r="E3279" t="inlineStr">
        <is>
          <t>VETLANDA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36744-2021</t>
        </is>
      </c>
      <c r="B3280" s="1" t="n">
        <v>44392</v>
      </c>
      <c r="C3280" s="1" t="n">
        <v>45828</v>
      </c>
      <c r="D3280" t="inlineStr">
        <is>
          <t>JÖNKÖPINGS LÄN</t>
        </is>
      </c>
      <c r="E3280" t="inlineStr">
        <is>
          <t>GISLAVED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37081-2021</t>
        </is>
      </c>
      <c r="B3281" s="1" t="n">
        <v>44395</v>
      </c>
      <c r="C3281" s="1" t="n">
        <v>45828</v>
      </c>
      <c r="D3281" t="inlineStr">
        <is>
          <t>JÖNKÖPINGS LÄN</t>
        </is>
      </c>
      <c r="E3281" t="inlineStr">
        <is>
          <t>TRANÅS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37146-2021</t>
        </is>
      </c>
      <c r="B3282" s="1" t="n">
        <v>44396</v>
      </c>
      <c r="C3282" s="1" t="n">
        <v>45828</v>
      </c>
      <c r="D3282" t="inlineStr">
        <is>
          <t>JÖNKÖPINGS LÄN</t>
        </is>
      </c>
      <c r="E3282" t="inlineStr">
        <is>
          <t>TRANÅS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37167-2021</t>
        </is>
      </c>
      <c r="B3283" s="1" t="n">
        <v>44396</v>
      </c>
      <c r="C3283" s="1" t="n">
        <v>45828</v>
      </c>
      <c r="D3283" t="inlineStr">
        <is>
          <t>JÖNKÖPINGS LÄN</t>
        </is>
      </c>
      <c r="E3283" t="inlineStr">
        <is>
          <t>GISLAVED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37205-2021</t>
        </is>
      </c>
      <c r="B3284" s="1" t="n">
        <v>44396</v>
      </c>
      <c r="C3284" s="1" t="n">
        <v>45828</v>
      </c>
      <c r="D3284" t="inlineStr">
        <is>
          <t>JÖNKÖPINGS LÄN</t>
        </is>
      </c>
      <c r="E3284" t="inlineStr">
        <is>
          <t>VETLANDA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37299-2021</t>
        </is>
      </c>
      <c r="B3285" s="1" t="n">
        <v>44397</v>
      </c>
      <c r="C3285" s="1" t="n">
        <v>45828</v>
      </c>
      <c r="D3285" t="inlineStr">
        <is>
          <t>JÖNKÖPINGS LÄN</t>
        </is>
      </c>
      <c r="E3285" t="inlineStr">
        <is>
          <t>SÄVSJÖ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37350-2021</t>
        </is>
      </c>
      <c r="B3286" s="1" t="n">
        <v>44397</v>
      </c>
      <c r="C3286" s="1" t="n">
        <v>45828</v>
      </c>
      <c r="D3286" t="inlineStr">
        <is>
          <t>JÖNKÖPINGS LÄN</t>
        </is>
      </c>
      <c r="E3286" t="inlineStr">
        <is>
          <t>GISLAVED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37468-2021</t>
        </is>
      </c>
      <c r="B3287" s="1" t="n">
        <v>44398</v>
      </c>
      <c r="C3287" s="1" t="n">
        <v>45828</v>
      </c>
      <c r="D3287" t="inlineStr">
        <is>
          <t>JÖNKÖPINGS LÄN</t>
        </is>
      </c>
      <c r="E3287" t="inlineStr">
        <is>
          <t>VETLANDA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37447-2021</t>
        </is>
      </c>
      <c r="B3288" s="1" t="n">
        <v>44398</v>
      </c>
      <c r="C3288" s="1" t="n">
        <v>45828</v>
      </c>
      <c r="D3288" t="inlineStr">
        <is>
          <t>JÖNKÖPINGS LÄN</t>
        </is>
      </c>
      <c r="E3288" t="inlineStr">
        <is>
          <t>VETLANDA</t>
        </is>
      </c>
      <c r="G3288" t="n">
        <v>4.6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37515-2021</t>
        </is>
      </c>
      <c r="B3289" s="1" t="n">
        <v>44399</v>
      </c>
      <c r="C3289" s="1" t="n">
        <v>45828</v>
      </c>
      <c r="D3289" t="inlineStr">
        <is>
          <t>JÖNKÖPINGS LÄN</t>
        </is>
      </c>
      <c r="E3289" t="inlineStr">
        <is>
          <t>EKSJÖ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37671-2021</t>
        </is>
      </c>
      <c r="B3290" s="1" t="n">
        <v>44400</v>
      </c>
      <c r="C3290" s="1" t="n">
        <v>45828</v>
      </c>
      <c r="D3290" t="inlineStr">
        <is>
          <t>JÖNKÖPINGS LÄN</t>
        </is>
      </c>
      <c r="E3290" t="inlineStr">
        <is>
          <t>GISLAVED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37803-2021</t>
        </is>
      </c>
      <c r="B3291" s="1" t="n">
        <v>44402</v>
      </c>
      <c r="C3291" s="1" t="n">
        <v>45828</v>
      </c>
      <c r="D3291" t="inlineStr">
        <is>
          <t>JÖNKÖPINGS LÄN</t>
        </is>
      </c>
      <c r="E3291" t="inlineStr">
        <is>
          <t>VAGGERYD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37826-2021</t>
        </is>
      </c>
      <c r="B3292" s="1" t="n">
        <v>44403</v>
      </c>
      <c r="C3292" s="1" t="n">
        <v>45828</v>
      </c>
      <c r="D3292" t="inlineStr">
        <is>
          <t>JÖNKÖPINGS LÄN</t>
        </is>
      </c>
      <c r="E3292" t="inlineStr">
        <is>
          <t>VAGGERYD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38082-2021</t>
        </is>
      </c>
      <c r="B3293" s="1" t="n">
        <v>44404</v>
      </c>
      <c r="C3293" s="1" t="n">
        <v>45828</v>
      </c>
      <c r="D3293" t="inlineStr">
        <is>
          <t>JÖNKÖPINGS LÄN</t>
        </is>
      </c>
      <c r="E3293" t="inlineStr">
        <is>
          <t>JÖNKÖPING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38083-2021</t>
        </is>
      </c>
      <c r="B3294" s="1" t="n">
        <v>44404</v>
      </c>
      <c r="C3294" s="1" t="n">
        <v>45828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38080-2021</t>
        </is>
      </c>
      <c r="B3295" s="1" t="n">
        <v>44404</v>
      </c>
      <c r="C3295" s="1" t="n">
        <v>45828</v>
      </c>
      <c r="D3295" t="inlineStr">
        <is>
          <t>JÖNKÖPINGS LÄN</t>
        </is>
      </c>
      <c r="E3295" t="inlineStr">
        <is>
          <t>VETLANDA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38081-2021</t>
        </is>
      </c>
      <c r="B3296" s="1" t="n">
        <v>44404</v>
      </c>
      <c r="C3296" s="1" t="n">
        <v>45828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38189-2021</t>
        </is>
      </c>
      <c r="B3297" s="1" t="n">
        <v>44405</v>
      </c>
      <c r="C3297" s="1" t="n">
        <v>45828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38265-2021</t>
        </is>
      </c>
      <c r="B3298" s="1" t="n">
        <v>44405</v>
      </c>
      <c r="C3298" s="1" t="n">
        <v>45828</v>
      </c>
      <c r="D3298" t="inlineStr">
        <is>
          <t>JÖNKÖPINGS LÄN</t>
        </is>
      </c>
      <c r="E3298" t="inlineStr">
        <is>
          <t>SÄVSJÖ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38342-2021</t>
        </is>
      </c>
      <c r="B3299" s="1" t="n">
        <v>44406</v>
      </c>
      <c r="C3299" s="1" t="n">
        <v>45828</v>
      </c>
      <c r="D3299" t="inlineStr">
        <is>
          <t>JÖNKÖPINGS LÄN</t>
        </is>
      </c>
      <c r="E3299" t="inlineStr">
        <is>
          <t>GISLAVED</t>
        </is>
      </c>
      <c r="G3299" t="n">
        <v>8.699999999999999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38351-2021</t>
        </is>
      </c>
      <c r="B3300" s="1" t="n">
        <v>44406</v>
      </c>
      <c r="C3300" s="1" t="n">
        <v>45828</v>
      </c>
      <c r="D3300" t="inlineStr">
        <is>
          <t>JÖNKÖPINGS LÄN</t>
        </is>
      </c>
      <c r="E3300" t="inlineStr">
        <is>
          <t>GISLAVED</t>
        </is>
      </c>
      <c r="G3300" t="n">
        <v>6.7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38326-2021</t>
        </is>
      </c>
      <c r="B3301" s="1" t="n">
        <v>44406</v>
      </c>
      <c r="C3301" s="1" t="n">
        <v>45828</v>
      </c>
      <c r="D3301" t="inlineStr">
        <is>
          <t>JÖNKÖPINGS LÄN</t>
        </is>
      </c>
      <c r="E3301" t="inlineStr">
        <is>
          <t>VAGGERYD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38533-2021</t>
        </is>
      </c>
      <c r="B3302" s="1" t="n">
        <v>44407</v>
      </c>
      <c r="C3302" s="1" t="n">
        <v>45828</v>
      </c>
      <c r="D3302" t="inlineStr">
        <is>
          <t>JÖNKÖPINGS LÄN</t>
        </is>
      </c>
      <c r="E3302" t="inlineStr">
        <is>
          <t>NÄSSJÖ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38552-2021</t>
        </is>
      </c>
      <c r="B3303" s="1" t="n">
        <v>44407</v>
      </c>
      <c r="C3303" s="1" t="n">
        <v>45828</v>
      </c>
      <c r="D3303" t="inlineStr">
        <is>
          <t>JÖNKÖPINGS LÄN</t>
        </is>
      </c>
      <c r="E3303" t="inlineStr">
        <is>
          <t>VETLANDA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38793-2021</t>
        </is>
      </c>
      <c r="B3304" s="1" t="n">
        <v>44410</v>
      </c>
      <c r="C3304" s="1" t="n">
        <v>45828</v>
      </c>
      <c r="D3304" t="inlineStr">
        <is>
          <t>JÖNKÖPINGS LÄN</t>
        </is>
      </c>
      <c r="E3304" t="inlineStr">
        <is>
          <t>NÄSSJÖ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38854-2021</t>
        </is>
      </c>
      <c r="B3305" s="1" t="n">
        <v>44411</v>
      </c>
      <c r="C3305" s="1" t="n">
        <v>45828</v>
      </c>
      <c r="D3305" t="inlineStr">
        <is>
          <t>JÖNKÖPINGS LÄN</t>
        </is>
      </c>
      <c r="E3305" t="inlineStr">
        <is>
          <t>JÖNKÖPING</t>
        </is>
      </c>
      <c r="G3305" t="n">
        <v>10.1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38865-2021</t>
        </is>
      </c>
      <c r="B3306" s="1" t="n">
        <v>44411</v>
      </c>
      <c r="C3306" s="1" t="n">
        <v>45828</v>
      </c>
      <c r="D3306" t="inlineStr">
        <is>
          <t>JÖNKÖPINGS LÄN</t>
        </is>
      </c>
      <c r="E3306" t="inlineStr">
        <is>
          <t>JÖNKÖPING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39049-2021</t>
        </is>
      </c>
      <c r="B3307" s="1" t="n">
        <v>44412</v>
      </c>
      <c r="C3307" s="1" t="n">
        <v>45828</v>
      </c>
      <c r="D3307" t="inlineStr">
        <is>
          <t>JÖNKÖPINGS LÄN</t>
        </is>
      </c>
      <c r="E3307" t="inlineStr">
        <is>
          <t>EKSJÖ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38996-2021</t>
        </is>
      </c>
      <c r="B3308" s="1" t="n">
        <v>44412</v>
      </c>
      <c r="C3308" s="1" t="n">
        <v>45828</v>
      </c>
      <c r="D3308" t="inlineStr">
        <is>
          <t>JÖNKÖPINGS LÄN</t>
        </is>
      </c>
      <c r="E3308" t="inlineStr">
        <is>
          <t>MULLSJÖ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39148-2021</t>
        </is>
      </c>
      <c r="B3309" s="1" t="n">
        <v>44412</v>
      </c>
      <c r="C3309" s="1" t="n">
        <v>45828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39155-2021</t>
        </is>
      </c>
      <c r="B3310" s="1" t="n">
        <v>44412</v>
      </c>
      <c r="C3310" s="1" t="n">
        <v>45828</v>
      </c>
      <c r="D3310" t="inlineStr">
        <is>
          <t>JÖNKÖPINGS LÄN</t>
        </is>
      </c>
      <c r="E3310" t="inlineStr">
        <is>
          <t>JÖNKÖPING</t>
        </is>
      </c>
      <c r="G3310" t="n">
        <v>4.6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39150-2021</t>
        </is>
      </c>
      <c r="B3311" s="1" t="n">
        <v>44412</v>
      </c>
      <c r="C3311" s="1" t="n">
        <v>45828</v>
      </c>
      <c r="D3311" t="inlineStr">
        <is>
          <t>JÖNKÖPINGS LÄN</t>
        </is>
      </c>
      <c r="E3311" t="inlineStr">
        <is>
          <t>SÄVSJÖ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39314-2021</t>
        </is>
      </c>
      <c r="B3312" s="1" t="n">
        <v>44413</v>
      </c>
      <c r="C3312" s="1" t="n">
        <v>45828</v>
      </c>
      <c r="D3312" t="inlineStr">
        <is>
          <t>JÖNKÖPINGS LÄN</t>
        </is>
      </c>
      <c r="E3312" t="inlineStr">
        <is>
          <t>VAGGERYD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39389-2021</t>
        </is>
      </c>
      <c r="B3313" s="1" t="n">
        <v>44414</v>
      </c>
      <c r="C3313" s="1" t="n">
        <v>45828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39421-2021</t>
        </is>
      </c>
      <c r="B3314" s="1" t="n">
        <v>44414</v>
      </c>
      <c r="C3314" s="1" t="n">
        <v>45828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39491-2021</t>
        </is>
      </c>
      <c r="B3315" s="1" t="n">
        <v>44414</v>
      </c>
      <c r="C3315" s="1" t="n">
        <v>45828</v>
      </c>
      <c r="D3315" t="inlineStr">
        <is>
          <t>JÖNKÖPINGS LÄN</t>
        </is>
      </c>
      <c r="E3315" t="inlineStr">
        <is>
          <t>SÄVSJÖ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39499-2021</t>
        </is>
      </c>
      <c r="B3316" s="1" t="n">
        <v>44414</v>
      </c>
      <c r="C3316" s="1" t="n">
        <v>45828</v>
      </c>
      <c r="D3316" t="inlineStr">
        <is>
          <t>JÖNKÖPINGS LÄN</t>
        </is>
      </c>
      <c r="E3316" t="inlineStr">
        <is>
          <t>SÄVSJÖ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39379-2021</t>
        </is>
      </c>
      <c r="B3317" s="1" t="n">
        <v>44414</v>
      </c>
      <c r="C3317" s="1" t="n">
        <v>45828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39391-2021</t>
        </is>
      </c>
      <c r="B3318" s="1" t="n">
        <v>44414</v>
      </c>
      <c r="C3318" s="1" t="n">
        <v>45828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39501-2021</t>
        </is>
      </c>
      <c r="B3319" s="1" t="n">
        <v>44414</v>
      </c>
      <c r="C3319" s="1" t="n">
        <v>45828</v>
      </c>
      <c r="D3319" t="inlineStr">
        <is>
          <t>JÖNKÖPINGS LÄN</t>
        </is>
      </c>
      <c r="E3319" t="inlineStr">
        <is>
          <t>SÄVSJÖ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39443-2021</t>
        </is>
      </c>
      <c r="B3320" s="1" t="n">
        <v>44414</v>
      </c>
      <c r="C3320" s="1" t="n">
        <v>45828</v>
      </c>
      <c r="D3320" t="inlineStr">
        <is>
          <t>JÖNKÖPINGS LÄN</t>
        </is>
      </c>
      <c r="E3320" t="inlineStr">
        <is>
          <t>JÖNKÖPING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39677-2021</t>
        </is>
      </c>
      <c r="B3321" s="1" t="n">
        <v>44417</v>
      </c>
      <c r="C3321" s="1" t="n">
        <v>45828</v>
      </c>
      <c r="D3321" t="inlineStr">
        <is>
          <t>JÖNKÖPINGS LÄN</t>
        </is>
      </c>
      <c r="E3321" t="inlineStr">
        <is>
          <t>VETLANDA</t>
        </is>
      </c>
      <c r="G3321" t="n">
        <v>8.4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39652-2021</t>
        </is>
      </c>
      <c r="B3322" s="1" t="n">
        <v>44417</v>
      </c>
      <c r="C3322" s="1" t="n">
        <v>45828</v>
      </c>
      <c r="D3322" t="inlineStr">
        <is>
          <t>JÖNKÖPINGS LÄN</t>
        </is>
      </c>
      <c r="E3322" t="inlineStr">
        <is>
          <t>TRANÅS</t>
        </is>
      </c>
      <c r="F3322" t="inlineStr">
        <is>
          <t>Allmännings- och besparingsskogar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39836-2021</t>
        </is>
      </c>
      <c r="B3323" s="1" t="n">
        <v>44417</v>
      </c>
      <c r="C3323" s="1" t="n">
        <v>45828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40103-2021</t>
        </is>
      </c>
      <c r="B3324" s="1" t="n">
        <v>44418</v>
      </c>
      <c r="C3324" s="1" t="n">
        <v>45828</v>
      </c>
      <c r="D3324" t="inlineStr">
        <is>
          <t>JÖNKÖPINGS LÄN</t>
        </is>
      </c>
      <c r="E3324" t="inlineStr">
        <is>
          <t>TRANÅS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40144-2021</t>
        </is>
      </c>
      <c r="B3325" s="1" t="n">
        <v>44418</v>
      </c>
      <c r="C3325" s="1" t="n">
        <v>45828</v>
      </c>
      <c r="D3325" t="inlineStr">
        <is>
          <t>JÖNKÖPINGS LÄN</t>
        </is>
      </c>
      <c r="E3325" t="inlineStr">
        <is>
          <t>NÄSSJÖ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40070-2021</t>
        </is>
      </c>
      <c r="B3326" s="1" t="n">
        <v>44418</v>
      </c>
      <c r="C3326" s="1" t="n">
        <v>45828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40131-2021</t>
        </is>
      </c>
      <c r="B3327" s="1" t="n">
        <v>44418</v>
      </c>
      <c r="C3327" s="1" t="n">
        <v>45828</v>
      </c>
      <c r="D3327" t="inlineStr">
        <is>
          <t>JÖNKÖPINGS LÄN</t>
        </is>
      </c>
      <c r="E3327" t="inlineStr">
        <is>
          <t>NÄSSJÖ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40176-2021</t>
        </is>
      </c>
      <c r="B3328" s="1" t="n">
        <v>44418</v>
      </c>
      <c r="C3328" s="1" t="n">
        <v>45828</v>
      </c>
      <c r="D3328" t="inlineStr">
        <is>
          <t>JÖNKÖPINGS LÄN</t>
        </is>
      </c>
      <c r="E3328" t="inlineStr">
        <is>
          <t>VETLANDA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40012-2021</t>
        </is>
      </c>
      <c r="B3329" s="1" t="n">
        <v>44418</v>
      </c>
      <c r="C3329" s="1" t="n">
        <v>45828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40166-2021</t>
        </is>
      </c>
      <c r="B3330" s="1" t="n">
        <v>44418</v>
      </c>
      <c r="C3330" s="1" t="n">
        <v>45828</v>
      </c>
      <c r="D3330" t="inlineStr">
        <is>
          <t>JÖNKÖPINGS LÄN</t>
        </is>
      </c>
      <c r="E3330" t="inlineStr">
        <is>
          <t>NÄSSJÖ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40267-2021</t>
        </is>
      </c>
      <c r="B3331" s="1" t="n">
        <v>44419</v>
      </c>
      <c r="C3331" s="1" t="n">
        <v>45828</v>
      </c>
      <c r="D3331" t="inlineStr">
        <is>
          <t>JÖNKÖPINGS LÄN</t>
        </is>
      </c>
      <c r="E3331" t="inlineStr">
        <is>
          <t>MULLSJÖ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40332-2021</t>
        </is>
      </c>
      <c r="B3332" s="1" t="n">
        <v>44419</v>
      </c>
      <c r="C3332" s="1" t="n">
        <v>45828</v>
      </c>
      <c r="D3332" t="inlineStr">
        <is>
          <t>JÖNKÖPINGS LÄN</t>
        </is>
      </c>
      <c r="E3332" t="inlineStr">
        <is>
          <t>VÄRNAMO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40548-2021</t>
        </is>
      </c>
      <c r="B3333" s="1" t="n">
        <v>44420</v>
      </c>
      <c r="C3333" s="1" t="n">
        <v>45828</v>
      </c>
      <c r="D3333" t="inlineStr">
        <is>
          <t>JÖNKÖPINGS LÄN</t>
        </is>
      </c>
      <c r="E3333" t="inlineStr">
        <is>
          <t>VÄRNAMO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40575-2021</t>
        </is>
      </c>
      <c r="B3334" s="1" t="n">
        <v>44420</v>
      </c>
      <c r="C3334" s="1" t="n">
        <v>45828</v>
      </c>
      <c r="D3334" t="inlineStr">
        <is>
          <t>JÖNKÖPINGS LÄN</t>
        </is>
      </c>
      <c r="E3334" t="inlineStr">
        <is>
          <t>HABO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40532-2021</t>
        </is>
      </c>
      <c r="B3335" s="1" t="n">
        <v>44420</v>
      </c>
      <c r="C3335" s="1" t="n">
        <v>45828</v>
      </c>
      <c r="D3335" t="inlineStr">
        <is>
          <t>JÖNKÖPINGS LÄN</t>
        </is>
      </c>
      <c r="E3335" t="inlineStr">
        <is>
          <t>VAGGERYD</t>
        </is>
      </c>
      <c r="G3335" t="n">
        <v>6.2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40673-2021</t>
        </is>
      </c>
      <c r="B3336" s="1" t="n">
        <v>44420</v>
      </c>
      <c r="C3336" s="1" t="n">
        <v>45828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40715-2021</t>
        </is>
      </c>
      <c r="B3337" s="1" t="n">
        <v>44420</v>
      </c>
      <c r="C3337" s="1" t="n">
        <v>45828</v>
      </c>
      <c r="D3337" t="inlineStr">
        <is>
          <t>JÖNKÖPINGS LÄN</t>
        </is>
      </c>
      <c r="E3337" t="inlineStr">
        <is>
          <t>SÄVSJÖ</t>
        </is>
      </c>
      <c r="G3337" t="n">
        <v>8.199999999999999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40739-2021</t>
        </is>
      </c>
      <c r="B3338" s="1" t="n">
        <v>44420</v>
      </c>
      <c r="C3338" s="1" t="n">
        <v>45828</v>
      </c>
      <c r="D3338" t="inlineStr">
        <is>
          <t>JÖNKÖPINGS LÄN</t>
        </is>
      </c>
      <c r="E3338" t="inlineStr">
        <is>
          <t>TRANÅS</t>
        </is>
      </c>
      <c r="G3338" t="n">
        <v>9.5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40745-2021</t>
        </is>
      </c>
      <c r="B3339" s="1" t="n">
        <v>44420</v>
      </c>
      <c r="C3339" s="1" t="n">
        <v>45828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40740-2021</t>
        </is>
      </c>
      <c r="B3340" s="1" t="n">
        <v>44420</v>
      </c>
      <c r="C3340" s="1" t="n">
        <v>45828</v>
      </c>
      <c r="D3340" t="inlineStr">
        <is>
          <t>JÖNKÖPINGS LÄN</t>
        </is>
      </c>
      <c r="E3340" t="inlineStr">
        <is>
          <t>VETLANDA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40869-2021</t>
        </is>
      </c>
      <c r="B3341" s="1" t="n">
        <v>44421</v>
      </c>
      <c r="C3341" s="1" t="n">
        <v>45828</v>
      </c>
      <c r="D3341" t="inlineStr">
        <is>
          <t>JÖNKÖPINGS LÄN</t>
        </is>
      </c>
      <c r="E3341" t="inlineStr">
        <is>
          <t>MULLSJÖ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40849-2021</t>
        </is>
      </c>
      <c r="B3342" s="1" t="n">
        <v>44421</v>
      </c>
      <c r="C3342" s="1" t="n">
        <v>45828</v>
      </c>
      <c r="D3342" t="inlineStr">
        <is>
          <t>JÖNKÖPINGS LÄN</t>
        </is>
      </c>
      <c r="E3342" t="inlineStr">
        <is>
          <t>ANEBY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40959-2021</t>
        </is>
      </c>
      <c r="B3343" s="1" t="n">
        <v>44421</v>
      </c>
      <c r="C3343" s="1" t="n">
        <v>45828</v>
      </c>
      <c r="D3343" t="inlineStr">
        <is>
          <t>JÖNKÖPINGS LÄN</t>
        </is>
      </c>
      <c r="E3343" t="inlineStr">
        <is>
          <t>NÄSSJÖ</t>
        </is>
      </c>
      <c r="G3343" t="n">
        <v>6.7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40951-2021</t>
        </is>
      </c>
      <c r="B3344" s="1" t="n">
        <v>44421</v>
      </c>
      <c r="C3344" s="1" t="n">
        <v>45828</v>
      </c>
      <c r="D3344" t="inlineStr">
        <is>
          <t>JÖNKÖPINGS LÄN</t>
        </is>
      </c>
      <c r="E3344" t="inlineStr">
        <is>
          <t>NÄSSJÖ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41167-2021</t>
        </is>
      </c>
      <c r="B3345" s="1" t="n">
        <v>44421</v>
      </c>
      <c r="C3345" s="1" t="n">
        <v>45828</v>
      </c>
      <c r="D3345" t="inlineStr">
        <is>
          <t>JÖNKÖPINGS LÄN</t>
        </is>
      </c>
      <c r="E3345" t="inlineStr">
        <is>
          <t>GISLAVED</t>
        </is>
      </c>
      <c r="F3345" t="inlineStr">
        <is>
          <t>Kyrkan</t>
        </is>
      </c>
      <c r="G3345" t="n">
        <v>15.8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41172-2021</t>
        </is>
      </c>
      <c r="B3346" s="1" t="n">
        <v>44421</v>
      </c>
      <c r="C3346" s="1" t="n">
        <v>45828</v>
      </c>
      <c r="D3346" t="inlineStr">
        <is>
          <t>JÖNKÖPINGS LÄN</t>
        </is>
      </c>
      <c r="E3346" t="inlineStr">
        <is>
          <t>GISLAVED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41143-2021</t>
        </is>
      </c>
      <c r="B3347" s="1" t="n">
        <v>44423</v>
      </c>
      <c r="C3347" s="1" t="n">
        <v>45828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41125-2021</t>
        </is>
      </c>
      <c r="B3348" s="1" t="n">
        <v>44423</v>
      </c>
      <c r="C3348" s="1" t="n">
        <v>45828</v>
      </c>
      <c r="D3348" t="inlineStr">
        <is>
          <t>JÖNKÖPINGS LÄN</t>
        </is>
      </c>
      <c r="E3348" t="inlineStr">
        <is>
          <t>GNOSJÖ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41144-2021</t>
        </is>
      </c>
      <c r="B3349" s="1" t="n">
        <v>44423</v>
      </c>
      <c r="C3349" s="1" t="n">
        <v>45828</v>
      </c>
      <c r="D3349" t="inlineStr">
        <is>
          <t>JÖNKÖPINGS LÄN</t>
        </is>
      </c>
      <c r="E3349" t="inlineStr">
        <is>
          <t>ANEBY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41133-2021</t>
        </is>
      </c>
      <c r="B3350" s="1" t="n">
        <v>44423</v>
      </c>
      <c r="C3350" s="1" t="n">
        <v>45828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41129-2021</t>
        </is>
      </c>
      <c r="B3351" s="1" t="n">
        <v>44423</v>
      </c>
      <c r="C3351" s="1" t="n">
        <v>45828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41211-2021</t>
        </is>
      </c>
      <c r="B3352" s="1" t="n">
        <v>44424</v>
      </c>
      <c r="C3352" s="1" t="n">
        <v>45828</v>
      </c>
      <c r="D3352" t="inlineStr">
        <is>
          <t>JÖNKÖPINGS LÄN</t>
        </is>
      </c>
      <c r="E3352" t="inlineStr">
        <is>
          <t>HABO</t>
        </is>
      </c>
      <c r="G3352" t="n">
        <v>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41195-2021</t>
        </is>
      </c>
      <c r="B3353" s="1" t="n">
        <v>44424</v>
      </c>
      <c r="C3353" s="1" t="n">
        <v>45828</v>
      </c>
      <c r="D3353" t="inlineStr">
        <is>
          <t>JÖNKÖPINGS LÄN</t>
        </is>
      </c>
      <c r="E3353" t="inlineStr">
        <is>
          <t>NÄSSJÖ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41213-2021</t>
        </is>
      </c>
      <c r="B3354" s="1" t="n">
        <v>44424</v>
      </c>
      <c r="C3354" s="1" t="n">
        <v>45828</v>
      </c>
      <c r="D3354" t="inlineStr">
        <is>
          <t>JÖNKÖPINGS LÄN</t>
        </is>
      </c>
      <c r="E3354" t="inlineStr">
        <is>
          <t>HABO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41226-2021</t>
        </is>
      </c>
      <c r="B3355" s="1" t="n">
        <v>44424</v>
      </c>
      <c r="C3355" s="1" t="n">
        <v>45828</v>
      </c>
      <c r="D3355" t="inlineStr">
        <is>
          <t>JÖNKÖPINGS LÄN</t>
        </is>
      </c>
      <c r="E3355" t="inlineStr">
        <is>
          <t>HABO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41217-2021</t>
        </is>
      </c>
      <c r="B3356" s="1" t="n">
        <v>44424</v>
      </c>
      <c r="C3356" s="1" t="n">
        <v>45828</v>
      </c>
      <c r="D3356" t="inlineStr">
        <is>
          <t>JÖNKÖPINGS LÄN</t>
        </is>
      </c>
      <c r="E3356" t="inlineStr">
        <is>
          <t>HABO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41206-2021</t>
        </is>
      </c>
      <c r="B3357" s="1" t="n">
        <v>44424</v>
      </c>
      <c r="C3357" s="1" t="n">
        <v>45828</v>
      </c>
      <c r="D3357" t="inlineStr">
        <is>
          <t>JÖNKÖPINGS LÄN</t>
        </is>
      </c>
      <c r="E3357" t="inlineStr">
        <is>
          <t>HABO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41216-2021</t>
        </is>
      </c>
      <c r="B3358" s="1" t="n">
        <v>44424</v>
      </c>
      <c r="C3358" s="1" t="n">
        <v>45828</v>
      </c>
      <c r="D3358" t="inlineStr">
        <is>
          <t>JÖNKÖPINGS LÄN</t>
        </is>
      </c>
      <c r="E3358" t="inlineStr">
        <is>
          <t>HABO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41376-2021</t>
        </is>
      </c>
      <c r="B3359" s="1" t="n">
        <v>44424</v>
      </c>
      <c r="C3359" s="1" t="n">
        <v>45828</v>
      </c>
      <c r="D3359" t="inlineStr">
        <is>
          <t>JÖNKÖPINGS LÄN</t>
        </is>
      </c>
      <c r="E3359" t="inlineStr">
        <is>
          <t>TRANÅS</t>
        </is>
      </c>
      <c r="F3359" t="inlineStr">
        <is>
          <t>Allmännings- och besparingsskogar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41632-2021</t>
        </is>
      </c>
      <c r="B3360" s="1" t="n">
        <v>44424</v>
      </c>
      <c r="C3360" s="1" t="n">
        <v>45828</v>
      </c>
      <c r="D3360" t="inlineStr">
        <is>
          <t>JÖNKÖPINGS LÄN</t>
        </is>
      </c>
      <c r="E3360" t="inlineStr">
        <is>
          <t>VETLANDA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41569-2021</t>
        </is>
      </c>
      <c r="B3361" s="1" t="n">
        <v>44424</v>
      </c>
      <c r="C3361" s="1" t="n">
        <v>45828</v>
      </c>
      <c r="D3361" t="inlineStr">
        <is>
          <t>JÖNKÖPINGS LÄN</t>
        </is>
      </c>
      <c r="E3361" t="inlineStr">
        <is>
          <t>VETLANDA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41694-2021</t>
        </is>
      </c>
      <c r="B3362" s="1" t="n">
        <v>44425</v>
      </c>
      <c r="C3362" s="1" t="n">
        <v>45828</v>
      </c>
      <c r="D3362" t="inlineStr">
        <is>
          <t>JÖNKÖPINGS LÄN</t>
        </is>
      </c>
      <c r="E3362" t="inlineStr">
        <is>
          <t>HABO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41602-2021</t>
        </is>
      </c>
      <c r="B3363" s="1" t="n">
        <v>44425</v>
      </c>
      <c r="C3363" s="1" t="n">
        <v>45828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41615-2021</t>
        </is>
      </c>
      <c r="B3364" s="1" t="n">
        <v>44425</v>
      </c>
      <c r="C3364" s="1" t="n">
        <v>45828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41712-2021</t>
        </is>
      </c>
      <c r="B3365" s="1" t="n">
        <v>44425</v>
      </c>
      <c r="C3365" s="1" t="n">
        <v>45828</v>
      </c>
      <c r="D3365" t="inlineStr">
        <is>
          <t>JÖNKÖPINGS LÄN</t>
        </is>
      </c>
      <c r="E3365" t="inlineStr">
        <is>
          <t>GISLAVED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41820-2021</t>
        </is>
      </c>
      <c r="B3366" s="1" t="n">
        <v>44425</v>
      </c>
      <c r="C3366" s="1" t="n">
        <v>45828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41791-2021</t>
        </is>
      </c>
      <c r="B3367" s="1" t="n">
        <v>44425</v>
      </c>
      <c r="C3367" s="1" t="n">
        <v>45828</v>
      </c>
      <c r="D3367" t="inlineStr">
        <is>
          <t>JÖNKÖPINGS LÄN</t>
        </is>
      </c>
      <c r="E3367" t="inlineStr">
        <is>
          <t>EKSJÖ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42058-2021</t>
        </is>
      </c>
      <c r="B3368" s="1" t="n">
        <v>44426</v>
      </c>
      <c r="C3368" s="1" t="n">
        <v>45828</v>
      </c>
      <c r="D3368" t="inlineStr">
        <is>
          <t>JÖNKÖPINGS LÄN</t>
        </is>
      </c>
      <c r="E3368" t="inlineStr">
        <is>
          <t>VETLANDA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42089-2021</t>
        </is>
      </c>
      <c r="B3369" s="1" t="n">
        <v>44426</v>
      </c>
      <c r="C3369" s="1" t="n">
        <v>45828</v>
      </c>
      <c r="D3369" t="inlineStr">
        <is>
          <t>JÖNKÖPINGS LÄN</t>
        </is>
      </c>
      <c r="E3369" t="inlineStr">
        <is>
          <t>GNOSJÖ</t>
        </is>
      </c>
      <c r="G3369" t="n">
        <v>13.1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42206-2021</t>
        </is>
      </c>
      <c r="B3370" s="1" t="n">
        <v>44426</v>
      </c>
      <c r="C3370" s="1" t="n">
        <v>45828</v>
      </c>
      <c r="D3370" t="inlineStr">
        <is>
          <t>JÖNKÖPINGS LÄN</t>
        </is>
      </c>
      <c r="E3370" t="inlineStr">
        <is>
          <t>NÄSSJÖ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42212-2021</t>
        </is>
      </c>
      <c r="B3371" s="1" t="n">
        <v>44426</v>
      </c>
      <c r="C3371" s="1" t="n">
        <v>45828</v>
      </c>
      <c r="D3371" t="inlineStr">
        <is>
          <t>JÖNKÖPINGS LÄN</t>
        </is>
      </c>
      <c r="E3371" t="inlineStr">
        <is>
          <t>SÄVSJÖ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42361-2021</t>
        </is>
      </c>
      <c r="B3372" s="1" t="n">
        <v>44427</v>
      </c>
      <c r="C3372" s="1" t="n">
        <v>45828</v>
      </c>
      <c r="D3372" t="inlineStr">
        <is>
          <t>JÖNKÖPINGS LÄN</t>
        </is>
      </c>
      <c r="E3372" t="inlineStr">
        <is>
          <t>HABO</t>
        </is>
      </c>
      <c r="G3372" t="n">
        <v>5.7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42411-2021</t>
        </is>
      </c>
      <c r="B3373" s="1" t="n">
        <v>44427</v>
      </c>
      <c r="C3373" s="1" t="n">
        <v>45828</v>
      </c>
      <c r="D3373" t="inlineStr">
        <is>
          <t>JÖNKÖPINGS LÄN</t>
        </is>
      </c>
      <c r="E3373" t="inlineStr">
        <is>
          <t>EKSJÖ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42450-2021</t>
        </is>
      </c>
      <c r="B3374" s="1" t="n">
        <v>44427</v>
      </c>
      <c r="C3374" s="1" t="n">
        <v>45828</v>
      </c>
      <c r="D3374" t="inlineStr">
        <is>
          <t>JÖNKÖPINGS LÄN</t>
        </is>
      </c>
      <c r="E3374" t="inlineStr">
        <is>
          <t>NÄSSJÖ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42453-2021</t>
        </is>
      </c>
      <c r="B3375" s="1" t="n">
        <v>44427</v>
      </c>
      <c r="C3375" s="1" t="n">
        <v>45828</v>
      </c>
      <c r="D3375" t="inlineStr">
        <is>
          <t>JÖNKÖPINGS LÄN</t>
        </is>
      </c>
      <c r="E3375" t="inlineStr">
        <is>
          <t>NÄSSJÖ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42489-2021</t>
        </is>
      </c>
      <c r="B3376" s="1" t="n">
        <v>44427</v>
      </c>
      <c r="C3376" s="1" t="n">
        <v>45828</v>
      </c>
      <c r="D3376" t="inlineStr">
        <is>
          <t>JÖNKÖPINGS LÄN</t>
        </is>
      </c>
      <c r="E3376" t="inlineStr">
        <is>
          <t>VÄRNAMO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42631-2021</t>
        </is>
      </c>
      <c r="B3377" s="1" t="n">
        <v>44428</v>
      </c>
      <c r="C3377" s="1" t="n">
        <v>45828</v>
      </c>
      <c r="D3377" t="inlineStr">
        <is>
          <t>JÖNKÖPINGS LÄN</t>
        </is>
      </c>
      <c r="E3377" t="inlineStr">
        <is>
          <t>NÄSSJÖ</t>
        </is>
      </c>
      <c r="G3377" t="n">
        <v>8.6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42578-2021</t>
        </is>
      </c>
      <c r="B3378" s="1" t="n">
        <v>44428</v>
      </c>
      <c r="C3378" s="1" t="n">
        <v>45828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42710-2021</t>
        </is>
      </c>
      <c r="B3379" s="1" t="n">
        <v>44428</v>
      </c>
      <c r="C3379" s="1" t="n">
        <v>45828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42623-2021</t>
        </is>
      </c>
      <c r="B3380" s="1" t="n">
        <v>44428</v>
      </c>
      <c r="C3380" s="1" t="n">
        <v>45828</v>
      </c>
      <c r="D3380" t="inlineStr">
        <is>
          <t>JÖNKÖPINGS LÄN</t>
        </is>
      </c>
      <c r="E3380" t="inlineStr">
        <is>
          <t>NÄSSJÖ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42715-2021</t>
        </is>
      </c>
      <c r="B3381" s="1" t="n">
        <v>44428</v>
      </c>
      <c r="C3381" s="1" t="n">
        <v>45828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42729-2021</t>
        </is>
      </c>
      <c r="B3382" s="1" t="n">
        <v>44428</v>
      </c>
      <c r="C3382" s="1" t="n">
        <v>45828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42882-2021</t>
        </is>
      </c>
      <c r="B3383" s="1" t="n">
        <v>44428</v>
      </c>
      <c r="C3383" s="1" t="n">
        <v>45828</v>
      </c>
      <c r="D3383" t="inlineStr">
        <is>
          <t>JÖNKÖPINGS LÄN</t>
        </is>
      </c>
      <c r="E3383" t="inlineStr">
        <is>
          <t>GISLAVED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42736-2021</t>
        </is>
      </c>
      <c r="B3384" s="1" t="n">
        <v>44428</v>
      </c>
      <c r="C3384" s="1" t="n">
        <v>45828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42724-2021</t>
        </is>
      </c>
      <c r="B3385" s="1" t="n">
        <v>44428</v>
      </c>
      <c r="C3385" s="1" t="n">
        <v>45828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42779-2021</t>
        </is>
      </c>
      <c r="B3386" s="1" t="n">
        <v>44428</v>
      </c>
      <c r="C3386" s="1" t="n">
        <v>45828</v>
      </c>
      <c r="D3386" t="inlineStr">
        <is>
          <t>JÖNKÖPINGS LÄN</t>
        </is>
      </c>
      <c r="E3386" t="inlineStr">
        <is>
          <t>EKSJÖ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42852-2021</t>
        </is>
      </c>
      <c r="B3387" s="1" t="n">
        <v>44430</v>
      </c>
      <c r="C3387" s="1" t="n">
        <v>45828</v>
      </c>
      <c r="D3387" t="inlineStr">
        <is>
          <t>JÖNKÖPINGS LÄN</t>
        </is>
      </c>
      <c r="E3387" t="inlineStr">
        <is>
          <t>MULLSJÖ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42950-2021</t>
        </is>
      </c>
      <c r="B3388" s="1" t="n">
        <v>44431</v>
      </c>
      <c r="C3388" s="1" t="n">
        <v>45828</v>
      </c>
      <c r="D3388" t="inlineStr">
        <is>
          <t>JÖNKÖPINGS LÄN</t>
        </is>
      </c>
      <c r="E3388" t="inlineStr">
        <is>
          <t>VETLANDA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43100-2021</t>
        </is>
      </c>
      <c r="B3389" s="1" t="n">
        <v>44431</v>
      </c>
      <c r="C3389" s="1" t="n">
        <v>45828</v>
      </c>
      <c r="D3389" t="inlineStr">
        <is>
          <t>JÖNKÖPINGS LÄN</t>
        </is>
      </c>
      <c r="E3389" t="inlineStr">
        <is>
          <t>EKSJÖ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42929-2021</t>
        </is>
      </c>
      <c r="B3390" s="1" t="n">
        <v>44431</v>
      </c>
      <c r="C3390" s="1" t="n">
        <v>45828</v>
      </c>
      <c r="D3390" t="inlineStr">
        <is>
          <t>JÖNKÖPINGS LÄN</t>
        </is>
      </c>
      <c r="E3390" t="inlineStr">
        <is>
          <t>EKSJÖ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42935-2021</t>
        </is>
      </c>
      <c r="B3391" s="1" t="n">
        <v>44431</v>
      </c>
      <c r="C3391" s="1" t="n">
        <v>45828</v>
      </c>
      <c r="D3391" t="inlineStr">
        <is>
          <t>JÖNKÖPINGS LÄN</t>
        </is>
      </c>
      <c r="E3391" t="inlineStr">
        <is>
          <t>EKSJÖ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42964-2021</t>
        </is>
      </c>
      <c r="B3392" s="1" t="n">
        <v>44431</v>
      </c>
      <c r="C3392" s="1" t="n">
        <v>45828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43018-2021</t>
        </is>
      </c>
      <c r="B3393" s="1" t="n">
        <v>44431</v>
      </c>
      <c r="C3393" s="1" t="n">
        <v>45828</v>
      </c>
      <c r="D3393" t="inlineStr">
        <is>
          <t>JÖNKÖPINGS LÄN</t>
        </is>
      </c>
      <c r="E3393" t="inlineStr">
        <is>
          <t>VETLANDA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43077-2021</t>
        </is>
      </c>
      <c r="B3394" s="1" t="n">
        <v>44431</v>
      </c>
      <c r="C3394" s="1" t="n">
        <v>45828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43239-2021</t>
        </is>
      </c>
      <c r="B3395" s="1" t="n">
        <v>44432</v>
      </c>
      <c r="C3395" s="1" t="n">
        <v>45828</v>
      </c>
      <c r="D3395" t="inlineStr">
        <is>
          <t>JÖNKÖPINGS LÄN</t>
        </is>
      </c>
      <c r="E3395" t="inlineStr">
        <is>
          <t>NÄSSJÖ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43286-2021</t>
        </is>
      </c>
      <c r="B3396" s="1" t="n">
        <v>44432</v>
      </c>
      <c r="C3396" s="1" t="n">
        <v>45828</v>
      </c>
      <c r="D3396" t="inlineStr">
        <is>
          <t>JÖNKÖPINGS LÄN</t>
        </is>
      </c>
      <c r="E3396" t="inlineStr">
        <is>
          <t>VAGGERYD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43371-2021</t>
        </is>
      </c>
      <c r="B3397" s="1" t="n">
        <v>44432</v>
      </c>
      <c r="C3397" s="1" t="n">
        <v>45828</v>
      </c>
      <c r="D3397" t="inlineStr">
        <is>
          <t>JÖNKÖPINGS LÄN</t>
        </is>
      </c>
      <c r="E3397" t="inlineStr">
        <is>
          <t>NÄSSJÖ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43408-2021</t>
        </is>
      </c>
      <c r="B3398" s="1" t="n">
        <v>44432</v>
      </c>
      <c r="C3398" s="1" t="n">
        <v>45828</v>
      </c>
      <c r="D3398" t="inlineStr">
        <is>
          <t>JÖNKÖPINGS LÄN</t>
        </is>
      </c>
      <c r="E3398" t="inlineStr">
        <is>
          <t>GISLAVED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43470-2021</t>
        </is>
      </c>
      <c r="B3399" s="1" t="n">
        <v>44432</v>
      </c>
      <c r="C3399" s="1" t="n">
        <v>45828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43367-2021</t>
        </is>
      </c>
      <c r="B3400" s="1" t="n">
        <v>44432</v>
      </c>
      <c r="C3400" s="1" t="n">
        <v>45828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43387-2021</t>
        </is>
      </c>
      <c r="B3401" s="1" t="n">
        <v>44432</v>
      </c>
      <c r="C3401" s="1" t="n">
        <v>45828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43466-2021</t>
        </is>
      </c>
      <c r="B3402" s="1" t="n">
        <v>44432</v>
      </c>
      <c r="C3402" s="1" t="n">
        <v>45828</v>
      </c>
      <c r="D3402" t="inlineStr">
        <is>
          <t>JÖNKÖPINGS LÄN</t>
        </is>
      </c>
      <c r="E3402" t="inlineStr">
        <is>
          <t>JÖNKÖPING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43419-2021</t>
        </is>
      </c>
      <c r="B3403" s="1" t="n">
        <v>44432</v>
      </c>
      <c r="C3403" s="1" t="n">
        <v>45828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43566-2021</t>
        </is>
      </c>
      <c r="B3404" s="1" t="n">
        <v>44433</v>
      </c>
      <c r="C3404" s="1" t="n">
        <v>45828</v>
      </c>
      <c r="D3404" t="inlineStr">
        <is>
          <t>JÖNKÖPINGS LÄN</t>
        </is>
      </c>
      <c r="E3404" t="inlineStr">
        <is>
          <t>SÄVSJÖ</t>
        </is>
      </c>
      <c r="G3404" t="n">
        <v>7.3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43604-2021</t>
        </is>
      </c>
      <c r="B3405" s="1" t="n">
        <v>44433</v>
      </c>
      <c r="C3405" s="1" t="n">
        <v>45828</v>
      </c>
      <c r="D3405" t="inlineStr">
        <is>
          <t>JÖNKÖPINGS LÄN</t>
        </is>
      </c>
      <c r="E3405" t="inlineStr">
        <is>
          <t>SÄVSJÖ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43594-2021</t>
        </is>
      </c>
      <c r="B3406" s="1" t="n">
        <v>44433</v>
      </c>
      <c r="C3406" s="1" t="n">
        <v>45828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43622-2021</t>
        </is>
      </c>
      <c r="B3407" s="1" t="n">
        <v>44433</v>
      </c>
      <c r="C3407" s="1" t="n">
        <v>45828</v>
      </c>
      <c r="D3407" t="inlineStr">
        <is>
          <t>JÖNKÖPINGS LÄN</t>
        </is>
      </c>
      <c r="E3407" t="inlineStr">
        <is>
          <t>GISLAVED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43607-2021</t>
        </is>
      </c>
      <c r="B3408" s="1" t="n">
        <v>44433</v>
      </c>
      <c r="C3408" s="1" t="n">
        <v>45828</v>
      </c>
      <c r="D3408" t="inlineStr">
        <is>
          <t>JÖNKÖPINGS LÄN</t>
        </is>
      </c>
      <c r="E3408" t="inlineStr">
        <is>
          <t>SÄVSJÖ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43618-2021</t>
        </is>
      </c>
      <c r="B3409" s="1" t="n">
        <v>44433</v>
      </c>
      <c r="C3409" s="1" t="n">
        <v>45828</v>
      </c>
      <c r="D3409" t="inlineStr">
        <is>
          <t>JÖNKÖPINGS LÄN</t>
        </is>
      </c>
      <c r="E3409" t="inlineStr">
        <is>
          <t>SÄVSJÖ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43538-2021</t>
        </is>
      </c>
      <c r="B3410" s="1" t="n">
        <v>44433</v>
      </c>
      <c r="C3410" s="1" t="n">
        <v>45828</v>
      </c>
      <c r="D3410" t="inlineStr">
        <is>
          <t>JÖNKÖPINGS LÄN</t>
        </is>
      </c>
      <c r="E3410" t="inlineStr">
        <is>
          <t>JÖNKÖPING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44079-2021</t>
        </is>
      </c>
      <c r="B3411" s="1" t="n">
        <v>44434</v>
      </c>
      <c r="C3411" s="1" t="n">
        <v>45828</v>
      </c>
      <c r="D3411" t="inlineStr">
        <is>
          <t>JÖNKÖPINGS LÄN</t>
        </is>
      </c>
      <c r="E3411" t="inlineStr">
        <is>
          <t>TRANÅS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44115-2021</t>
        </is>
      </c>
      <c r="B3412" s="1" t="n">
        <v>44434</v>
      </c>
      <c r="C3412" s="1" t="n">
        <v>45828</v>
      </c>
      <c r="D3412" t="inlineStr">
        <is>
          <t>JÖNKÖPINGS LÄN</t>
        </is>
      </c>
      <c r="E3412" t="inlineStr">
        <is>
          <t>VETLANDA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44184-2021</t>
        </is>
      </c>
      <c r="B3413" s="1" t="n">
        <v>44434</v>
      </c>
      <c r="C3413" s="1" t="n">
        <v>45828</v>
      </c>
      <c r="D3413" t="inlineStr">
        <is>
          <t>JÖNKÖPINGS LÄN</t>
        </is>
      </c>
      <c r="E3413" t="inlineStr">
        <is>
          <t>VÄRNAMO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44070-2021</t>
        </is>
      </c>
      <c r="B3414" s="1" t="n">
        <v>44434</v>
      </c>
      <c r="C3414" s="1" t="n">
        <v>45828</v>
      </c>
      <c r="D3414" t="inlineStr">
        <is>
          <t>JÖNKÖPINGS LÄN</t>
        </is>
      </c>
      <c r="E3414" t="inlineStr">
        <is>
          <t>VETLANDA</t>
        </is>
      </c>
      <c r="G3414" t="n">
        <v>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44266-2021</t>
        </is>
      </c>
      <c r="B3415" s="1" t="n">
        <v>44434</v>
      </c>
      <c r="C3415" s="1" t="n">
        <v>45828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Kyrkan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44112-2021</t>
        </is>
      </c>
      <c r="B3416" s="1" t="n">
        <v>44434</v>
      </c>
      <c r="C3416" s="1" t="n">
        <v>45828</v>
      </c>
      <c r="D3416" t="inlineStr">
        <is>
          <t>JÖNKÖPINGS LÄN</t>
        </is>
      </c>
      <c r="E3416" t="inlineStr">
        <is>
          <t>VETLANDA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44217-2021</t>
        </is>
      </c>
      <c r="B3417" s="1" t="n">
        <v>44434</v>
      </c>
      <c r="C3417" s="1" t="n">
        <v>45828</v>
      </c>
      <c r="D3417" t="inlineStr">
        <is>
          <t>JÖNKÖPINGS LÄN</t>
        </is>
      </c>
      <c r="E3417" t="inlineStr">
        <is>
          <t>VETLANDA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44428-2021</t>
        </is>
      </c>
      <c r="B3418" s="1" t="n">
        <v>44435</v>
      </c>
      <c r="C3418" s="1" t="n">
        <v>45828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44433-2021</t>
        </is>
      </c>
      <c r="B3419" s="1" t="n">
        <v>44435</v>
      </c>
      <c r="C3419" s="1" t="n">
        <v>45828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44542-2021</t>
        </is>
      </c>
      <c r="B3420" s="1" t="n">
        <v>44435</v>
      </c>
      <c r="C3420" s="1" t="n">
        <v>45828</v>
      </c>
      <c r="D3420" t="inlineStr">
        <is>
          <t>JÖNKÖPINGS LÄN</t>
        </is>
      </c>
      <c r="E3420" t="inlineStr">
        <is>
          <t>GISLAVED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44618-2021</t>
        </is>
      </c>
      <c r="B3421" s="1" t="n">
        <v>44436</v>
      </c>
      <c r="C3421" s="1" t="n">
        <v>45828</v>
      </c>
      <c r="D3421" t="inlineStr">
        <is>
          <t>JÖNKÖPINGS LÄN</t>
        </is>
      </c>
      <c r="E3421" t="inlineStr">
        <is>
          <t>VÄRNAMO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44816-2021</t>
        </is>
      </c>
      <c r="B3422" s="1" t="n">
        <v>44438</v>
      </c>
      <c r="C3422" s="1" t="n">
        <v>45828</v>
      </c>
      <c r="D3422" t="inlineStr">
        <is>
          <t>JÖNKÖPINGS LÄN</t>
        </is>
      </c>
      <c r="E3422" t="inlineStr">
        <is>
          <t>GNOSJÖ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45196-2021</t>
        </is>
      </c>
      <c r="B3423" s="1" t="n">
        <v>44438</v>
      </c>
      <c r="C3423" s="1" t="n">
        <v>45828</v>
      </c>
      <c r="D3423" t="inlineStr">
        <is>
          <t>JÖNKÖPINGS LÄN</t>
        </is>
      </c>
      <c r="E3423" t="inlineStr">
        <is>
          <t>VAGGERYD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44851-2021</t>
        </is>
      </c>
      <c r="B3424" s="1" t="n">
        <v>44438</v>
      </c>
      <c r="C3424" s="1" t="n">
        <v>45828</v>
      </c>
      <c r="D3424" t="inlineStr">
        <is>
          <t>JÖNKÖPINGS LÄN</t>
        </is>
      </c>
      <c r="E3424" t="inlineStr">
        <is>
          <t>VÄRNAMO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44987-2021</t>
        </is>
      </c>
      <c r="B3425" s="1" t="n">
        <v>44438</v>
      </c>
      <c r="C3425" s="1" t="n">
        <v>45828</v>
      </c>
      <c r="D3425" t="inlineStr">
        <is>
          <t>JÖNKÖPINGS LÄN</t>
        </is>
      </c>
      <c r="E3425" t="inlineStr">
        <is>
          <t>VETLANDA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45203-2021</t>
        </is>
      </c>
      <c r="B3426" s="1" t="n">
        <v>44438</v>
      </c>
      <c r="C3426" s="1" t="n">
        <v>45828</v>
      </c>
      <c r="D3426" t="inlineStr">
        <is>
          <t>JÖNKÖPINGS LÄN</t>
        </is>
      </c>
      <c r="E3426" t="inlineStr">
        <is>
          <t>VAGGERYD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44774-2021</t>
        </is>
      </c>
      <c r="B3427" s="1" t="n">
        <v>44438</v>
      </c>
      <c r="C3427" s="1" t="n">
        <v>45828</v>
      </c>
      <c r="D3427" t="inlineStr">
        <is>
          <t>JÖNKÖPINGS LÄN</t>
        </is>
      </c>
      <c r="E3427" t="inlineStr">
        <is>
          <t>VÄRNAMO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45163-2021</t>
        </is>
      </c>
      <c r="B3428" s="1" t="n">
        <v>44439</v>
      </c>
      <c r="C3428" s="1" t="n">
        <v>45828</v>
      </c>
      <c r="D3428" t="inlineStr">
        <is>
          <t>JÖNKÖPINGS LÄN</t>
        </is>
      </c>
      <c r="E3428" t="inlineStr">
        <is>
          <t>VETLANDA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45229-2021</t>
        </is>
      </c>
      <c r="B3429" s="1" t="n">
        <v>44439</v>
      </c>
      <c r="C3429" s="1" t="n">
        <v>45828</v>
      </c>
      <c r="D3429" t="inlineStr">
        <is>
          <t>JÖNKÖPINGS LÄN</t>
        </is>
      </c>
      <c r="E3429" t="inlineStr">
        <is>
          <t>VETLANDA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45237-2021</t>
        </is>
      </c>
      <c r="B3430" s="1" t="n">
        <v>44439</v>
      </c>
      <c r="C3430" s="1" t="n">
        <v>45828</v>
      </c>
      <c r="D3430" t="inlineStr">
        <is>
          <t>JÖNKÖPINGS LÄN</t>
        </is>
      </c>
      <c r="E3430" t="inlineStr">
        <is>
          <t>TRANÅS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45254-2021</t>
        </is>
      </c>
      <c r="B3431" s="1" t="n">
        <v>44439</v>
      </c>
      <c r="C3431" s="1" t="n">
        <v>45828</v>
      </c>
      <c r="D3431" t="inlineStr">
        <is>
          <t>JÖNKÖPINGS LÄN</t>
        </is>
      </c>
      <c r="E3431" t="inlineStr">
        <is>
          <t>VETLANDA</t>
        </is>
      </c>
      <c r="G3431" t="n">
        <v>11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45261-2021</t>
        </is>
      </c>
      <c r="B3432" s="1" t="n">
        <v>44439</v>
      </c>
      <c r="C3432" s="1" t="n">
        <v>45828</v>
      </c>
      <c r="D3432" t="inlineStr">
        <is>
          <t>JÖNKÖPINGS LÄN</t>
        </is>
      </c>
      <c r="E3432" t="inlineStr">
        <is>
          <t>VETLANDA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45283-2021</t>
        </is>
      </c>
      <c r="B3433" s="1" t="n">
        <v>44439</v>
      </c>
      <c r="C3433" s="1" t="n">
        <v>45828</v>
      </c>
      <c r="D3433" t="inlineStr">
        <is>
          <t>JÖNKÖPINGS LÄN</t>
        </is>
      </c>
      <c r="E3433" t="inlineStr">
        <is>
          <t>ANEBY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45451-2021</t>
        </is>
      </c>
      <c r="B3434" s="1" t="n">
        <v>44440</v>
      </c>
      <c r="C3434" s="1" t="n">
        <v>45828</v>
      </c>
      <c r="D3434" t="inlineStr">
        <is>
          <t>JÖNKÖPINGS LÄN</t>
        </is>
      </c>
      <c r="E3434" t="inlineStr">
        <is>
          <t>EKSJÖ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45467-2021</t>
        </is>
      </c>
      <c r="B3435" s="1" t="n">
        <v>44440</v>
      </c>
      <c r="C3435" s="1" t="n">
        <v>45828</v>
      </c>
      <c r="D3435" t="inlineStr">
        <is>
          <t>JÖNKÖPINGS LÄN</t>
        </is>
      </c>
      <c r="E3435" t="inlineStr">
        <is>
          <t>VÄRNAMO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45477-2021</t>
        </is>
      </c>
      <c r="B3436" s="1" t="n">
        <v>44440</v>
      </c>
      <c r="C3436" s="1" t="n">
        <v>45828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45498-2021</t>
        </is>
      </c>
      <c r="B3437" s="1" t="n">
        <v>44440</v>
      </c>
      <c r="C3437" s="1" t="n">
        <v>45828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45611-2021</t>
        </is>
      </c>
      <c r="B3438" s="1" t="n">
        <v>44440</v>
      </c>
      <c r="C3438" s="1" t="n">
        <v>45828</v>
      </c>
      <c r="D3438" t="inlineStr">
        <is>
          <t>JÖNKÖPINGS LÄN</t>
        </is>
      </c>
      <c r="E3438" t="inlineStr">
        <is>
          <t>GNOSJÖ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45592-2021</t>
        </is>
      </c>
      <c r="B3439" s="1" t="n">
        <v>44440</v>
      </c>
      <c r="C3439" s="1" t="n">
        <v>45828</v>
      </c>
      <c r="D3439" t="inlineStr">
        <is>
          <t>JÖNKÖPINGS LÄN</t>
        </is>
      </c>
      <c r="E3439" t="inlineStr">
        <is>
          <t>JÖNKÖPING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45684-2021</t>
        </is>
      </c>
      <c r="B3440" s="1" t="n">
        <v>44441</v>
      </c>
      <c r="C3440" s="1" t="n">
        <v>45828</v>
      </c>
      <c r="D3440" t="inlineStr">
        <is>
          <t>JÖNKÖPINGS LÄN</t>
        </is>
      </c>
      <c r="E3440" t="inlineStr">
        <is>
          <t>HABO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45726-2021</t>
        </is>
      </c>
      <c r="B3441" s="1" t="n">
        <v>44441</v>
      </c>
      <c r="C3441" s="1" t="n">
        <v>45828</v>
      </c>
      <c r="D3441" t="inlineStr">
        <is>
          <t>JÖNKÖPINGS LÄN</t>
        </is>
      </c>
      <c r="E3441" t="inlineStr">
        <is>
          <t>VÄRNAMO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45745-2021</t>
        </is>
      </c>
      <c r="B3442" s="1" t="n">
        <v>44441</v>
      </c>
      <c r="C3442" s="1" t="n">
        <v>45828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45891-2021</t>
        </is>
      </c>
      <c r="B3443" s="1" t="n">
        <v>44441</v>
      </c>
      <c r="C3443" s="1" t="n">
        <v>45828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45898-2021</t>
        </is>
      </c>
      <c r="B3444" s="1" t="n">
        <v>44441</v>
      </c>
      <c r="C3444" s="1" t="n">
        <v>45828</v>
      </c>
      <c r="D3444" t="inlineStr">
        <is>
          <t>JÖNKÖPINGS LÄN</t>
        </is>
      </c>
      <c r="E3444" t="inlineStr">
        <is>
          <t>GISLAVED</t>
        </is>
      </c>
      <c r="G3444" t="n">
        <v>5.4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45942-2021</t>
        </is>
      </c>
      <c r="B3445" s="1" t="n">
        <v>44441</v>
      </c>
      <c r="C3445" s="1" t="n">
        <v>45828</v>
      </c>
      <c r="D3445" t="inlineStr">
        <is>
          <t>JÖNKÖPINGS LÄN</t>
        </is>
      </c>
      <c r="E3445" t="inlineStr">
        <is>
          <t>VETLANDA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46061-2021</t>
        </is>
      </c>
      <c r="B3446" s="1" t="n">
        <v>44442</v>
      </c>
      <c r="C3446" s="1" t="n">
        <v>45828</v>
      </c>
      <c r="D3446" t="inlineStr">
        <is>
          <t>JÖNKÖPINGS LÄN</t>
        </is>
      </c>
      <c r="E3446" t="inlineStr">
        <is>
          <t>NÄSSJÖ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46275-2021</t>
        </is>
      </c>
      <c r="B3447" s="1" t="n">
        <v>44442</v>
      </c>
      <c r="C3447" s="1" t="n">
        <v>45828</v>
      </c>
      <c r="D3447" t="inlineStr">
        <is>
          <t>JÖNKÖPINGS LÄN</t>
        </is>
      </c>
      <c r="E3447" t="inlineStr">
        <is>
          <t>VETLANDA</t>
        </is>
      </c>
      <c r="G3447" t="n">
        <v>8.800000000000001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46325-2021</t>
        </is>
      </c>
      <c r="B3448" s="1" t="n">
        <v>44442</v>
      </c>
      <c r="C3448" s="1" t="n">
        <v>45828</v>
      </c>
      <c r="D3448" t="inlineStr">
        <is>
          <t>JÖNKÖPINGS LÄN</t>
        </is>
      </c>
      <c r="E3448" t="inlineStr">
        <is>
          <t>VÄRNAMO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46430-2021</t>
        </is>
      </c>
      <c r="B3449" s="1" t="n">
        <v>44442</v>
      </c>
      <c r="C3449" s="1" t="n">
        <v>45828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46307-2021</t>
        </is>
      </c>
      <c r="B3450" s="1" t="n">
        <v>44442</v>
      </c>
      <c r="C3450" s="1" t="n">
        <v>45828</v>
      </c>
      <c r="D3450" t="inlineStr">
        <is>
          <t>JÖNKÖPINGS LÄN</t>
        </is>
      </c>
      <c r="E3450" t="inlineStr">
        <is>
          <t>SÄVSJÖ</t>
        </is>
      </c>
      <c r="F3450" t="inlineStr">
        <is>
          <t>Kommuner</t>
        </is>
      </c>
      <c r="G3450" t="n">
        <v>25.6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46514-2021</t>
        </is>
      </c>
      <c r="B3451" s="1" t="n">
        <v>44445</v>
      </c>
      <c r="C3451" s="1" t="n">
        <v>45828</v>
      </c>
      <c r="D3451" t="inlineStr">
        <is>
          <t>JÖNKÖPINGS LÄN</t>
        </is>
      </c>
      <c r="E3451" t="inlineStr">
        <is>
          <t>SÄVSJÖ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46715-2021</t>
        </is>
      </c>
      <c r="B3452" s="1" t="n">
        <v>44445</v>
      </c>
      <c r="C3452" s="1" t="n">
        <v>45828</v>
      </c>
      <c r="D3452" t="inlineStr">
        <is>
          <t>JÖNKÖPINGS LÄN</t>
        </is>
      </c>
      <c r="E3452" t="inlineStr">
        <is>
          <t>JÖNKÖPING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46748-2021</t>
        </is>
      </c>
      <c r="B3453" s="1" t="n">
        <v>44445</v>
      </c>
      <c r="C3453" s="1" t="n">
        <v>45828</v>
      </c>
      <c r="D3453" t="inlineStr">
        <is>
          <t>JÖNKÖPINGS LÄN</t>
        </is>
      </c>
      <c r="E3453" t="inlineStr">
        <is>
          <t>NÄSSJÖ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46898-2021</t>
        </is>
      </c>
      <c r="B3454" s="1" t="n">
        <v>44446</v>
      </c>
      <c r="C3454" s="1" t="n">
        <v>45828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46965-2021</t>
        </is>
      </c>
      <c r="B3455" s="1" t="n">
        <v>44446</v>
      </c>
      <c r="C3455" s="1" t="n">
        <v>45828</v>
      </c>
      <c r="D3455" t="inlineStr">
        <is>
          <t>JÖNKÖPINGS LÄN</t>
        </is>
      </c>
      <c r="E3455" t="inlineStr">
        <is>
          <t>EKSJÖ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47022-2021</t>
        </is>
      </c>
      <c r="B3456" s="1" t="n">
        <v>44446</v>
      </c>
      <c r="C3456" s="1" t="n">
        <v>45828</v>
      </c>
      <c r="D3456" t="inlineStr">
        <is>
          <t>JÖNKÖPINGS LÄN</t>
        </is>
      </c>
      <c r="E3456" t="inlineStr">
        <is>
          <t>GNOSJÖ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47103-2021</t>
        </is>
      </c>
      <c r="B3457" s="1" t="n">
        <v>44446</v>
      </c>
      <c r="C3457" s="1" t="n">
        <v>45828</v>
      </c>
      <c r="D3457" t="inlineStr">
        <is>
          <t>JÖNKÖPINGS LÄN</t>
        </is>
      </c>
      <c r="E3457" t="inlineStr">
        <is>
          <t>VÄRNAMO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47128-2021</t>
        </is>
      </c>
      <c r="B3458" s="1" t="n">
        <v>44446</v>
      </c>
      <c r="C3458" s="1" t="n">
        <v>45828</v>
      </c>
      <c r="D3458" t="inlineStr">
        <is>
          <t>JÖNKÖPINGS LÄN</t>
        </is>
      </c>
      <c r="E3458" t="inlineStr">
        <is>
          <t>GISLAVED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46957-2021</t>
        </is>
      </c>
      <c r="B3459" s="1" t="n">
        <v>44446</v>
      </c>
      <c r="C3459" s="1" t="n">
        <v>45828</v>
      </c>
      <c r="D3459" t="inlineStr">
        <is>
          <t>JÖNKÖPINGS LÄN</t>
        </is>
      </c>
      <c r="E3459" t="inlineStr">
        <is>
          <t>EKSJÖ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47243-2021</t>
        </is>
      </c>
      <c r="B3460" s="1" t="n">
        <v>44447</v>
      </c>
      <c r="C3460" s="1" t="n">
        <v>45828</v>
      </c>
      <c r="D3460" t="inlineStr">
        <is>
          <t>JÖNKÖPINGS LÄN</t>
        </is>
      </c>
      <c r="E3460" t="inlineStr">
        <is>
          <t>GISLAVED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47312-2021</t>
        </is>
      </c>
      <c r="B3461" s="1" t="n">
        <v>44447</v>
      </c>
      <c r="C3461" s="1" t="n">
        <v>45828</v>
      </c>
      <c r="D3461" t="inlineStr">
        <is>
          <t>JÖNKÖPINGS LÄN</t>
        </is>
      </c>
      <c r="E3461" t="inlineStr">
        <is>
          <t>VETLANDA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47283-2021</t>
        </is>
      </c>
      <c r="B3462" s="1" t="n">
        <v>44447</v>
      </c>
      <c r="C3462" s="1" t="n">
        <v>45828</v>
      </c>
      <c r="D3462" t="inlineStr">
        <is>
          <t>JÖNKÖPINGS LÄN</t>
        </is>
      </c>
      <c r="E3462" t="inlineStr">
        <is>
          <t>GNOSJÖ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47405-2021</t>
        </is>
      </c>
      <c r="B3463" s="1" t="n">
        <v>44447</v>
      </c>
      <c r="C3463" s="1" t="n">
        <v>45828</v>
      </c>
      <c r="D3463" t="inlineStr">
        <is>
          <t>JÖNKÖPINGS LÄN</t>
        </is>
      </c>
      <c r="E3463" t="inlineStr">
        <is>
          <t>SÄVSJÖ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47248-2021</t>
        </is>
      </c>
      <c r="B3464" s="1" t="n">
        <v>44447</v>
      </c>
      <c r="C3464" s="1" t="n">
        <v>45828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47438-2021</t>
        </is>
      </c>
      <c r="B3465" s="1" t="n">
        <v>44447</v>
      </c>
      <c r="C3465" s="1" t="n">
        <v>45828</v>
      </c>
      <c r="D3465" t="inlineStr">
        <is>
          <t>JÖNKÖPINGS LÄN</t>
        </is>
      </c>
      <c r="E3465" t="inlineStr">
        <is>
          <t>NÄSSJÖ</t>
        </is>
      </c>
      <c r="F3465" t="inlineStr">
        <is>
          <t>Sveaskog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47499-2021</t>
        </is>
      </c>
      <c r="B3466" s="1" t="n">
        <v>44447</v>
      </c>
      <c r="C3466" s="1" t="n">
        <v>45828</v>
      </c>
      <c r="D3466" t="inlineStr">
        <is>
          <t>JÖNKÖPINGS LÄN</t>
        </is>
      </c>
      <c r="E3466" t="inlineStr">
        <is>
          <t>NÄSSJÖ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47757-2021</t>
        </is>
      </c>
      <c r="B3467" s="1" t="n">
        <v>44448</v>
      </c>
      <c r="C3467" s="1" t="n">
        <v>45828</v>
      </c>
      <c r="D3467" t="inlineStr">
        <is>
          <t>JÖNKÖPINGS LÄN</t>
        </is>
      </c>
      <c r="E3467" t="inlineStr">
        <is>
          <t>SÄVSJÖ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47664-2021</t>
        </is>
      </c>
      <c r="B3468" s="1" t="n">
        <v>44448</v>
      </c>
      <c r="C3468" s="1" t="n">
        <v>45828</v>
      </c>
      <c r="D3468" t="inlineStr">
        <is>
          <t>JÖNKÖPINGS LÄN</t>
        </is>
      </c>
      <c r="E3468" t="inlineStr">
        <is>
          <t>VÄRNAMO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47740-2021</t>
        </is>
      </c>
      <c r="B3469" s="1" t="n">
        <v>44448</v>
      </c>
      <c r="C3469" s="1" t="n">
        <v>45828</v>
      </c>
      <c r="D3469" t="inlineStr">
        <is>
          <t>JÖNKÖPINGS LÄN</t>
        </is>
      </c>
      <c r="E3469" t="inlineStr">
        <is>
          <t>SÄVSJÖ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47846-2021</t>
        </is>
      </c>
      <c r="B3470" s="1" t="n">
        <v>44448</v>
      </c>
      <c r="C3470" s="1" t="n">
        <v>45828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47873-2021</t>
        </is>
      </c>
      <c r="B3471" s="1" t="n">
        <v>44448</v>
      </c>
      <c r="C3471" s="1" t="n">
        <v>45828</v>
      </c>
      <c r="D3471" t="inlineStr">
        <is>
          <t>JÖNKÖPINGS LÄN</t>
        </is>
      </c>
      <c r="E3471" t="inlineStr">
        <is>
          <t>VAGGERYD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48038-2021</t>
        </is>
      </c>
      <c r="B3472" s="1" t="n">
        <v>44449</v>
      </c>
      <c r="C3472" s="1" t="n">
        <v>45828</v>
      </c>
      <c r="D3472" t="inlineStr">
        <is>
          <t>JÖNKÖPINGS LÄN</t>
        </is>
      </c>
      <c r="E3472" t="inlineStr">
        <is>
          <t>JÖNKÖPING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48136-2021</t>
        </is>
      </c>
      <c r="B3473" s="1" t="n">
        <v>44449</v>
      </c>
      <c r="C3473" s="1" t="n">
        <v>45828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48064-2021</t>
        </is>
      </c>
      <c r="B3474" s="1" t="n">
        <v>44449</v>
      </c>
      <c r="C3474" s="1" t="n">
        <v>45828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48131-2021</t>
        </is>
      </c>
      <c r="B3475" s="1" t="n">
        <v>44449</v>
      </c>
      <c r="C3475" s="1" t="n">
        <v>45828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48220-2021</t>
        </is>
      </c>
      <c r="B3476" s="1" t="n">
        <v>44449</v>
      </c>
      <c r="C3476" s="1" t="n">
        <v>45828</v>
      </c>
      <c r="D3476" t="inlineStr">
        <is>
          <t>JÖNKÖPINGS LÄN</t>
        </is>
      </c>
      <c r="E3476" t="inlineStr">
        <is>
          <t>VÄRNAMO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48202-2021</t>
        </is>
      </c>
      <c r="B3477" s="1" t="n">
        <v>44449</v>
      </c>
      <c r="C3477" s="1" t="n">
        <v>45828</v>
      </c>
      <c r="D3477" t="inlineStr">
        <is>
          <t>JÖNKÖPINGS LÄN</t>
        </is>
      </c>
      <c r="E3477" t="inlineStr">
        <is>
          <t>GISLAVED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48392-2021</t>
        </is>
      </c>
      <c r="B3478" s="1" t="n">
        <v>44452</v>
      </c>
      <c r="C3478" s="1" t="n">
        <v>45828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48407-2021</t>
        </is>
      </c>
      <c r="B3479" s="1" t="n">
        <v>44452</v>
      </c>
      <c r="C3479" s="1" t="n">
        <v>45828</v>
      </c>
      <c r="D3479" t="inlineStr">
        <is>
          <t>JÖNKÖPINGS LÄN</t>
        </is>
      </c>
      <c r="E3479" t="inlineStr">
        <is>
          <t>EKSJÖ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48518-2021</t>
        </is>
      </c>
      <c r="B3480" s="1" t="n">
        <v>44452</v>
      </c>
      <c r="C3480" s="1" t="n">
        <v>45828</v>
      </c>
      <c r="D3480" t="inlineStr">
        <is>
          <t>JÖNKÖPINGS LÄN</t>
        </is>
      </c>
      <c r="E3480" t="inlineStr">
        <is>
          <t>ANEBY</t>
        </is>
      </c>
      <c r="G3480" t="n">
        <v>3.8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48507-2021</t>
        </is>
      </c>
      <c r="B3481" s="1" t="n">
        <v>44452</v>
      </c>
      <c r="C3481" s="1" t="n">
        <v>45828</v>
      </c>
      <c r="D3481" t="inlineStr">
        <is>
          <t>JÖNKÖPINGS LÄN</t>
        </is>
      </c>
      <c r="E3481" t="inlineStr">
        <is>
          <t>TRANÅS</t>
        </is>
      </c>
      <c r="F3481" t="inlineStr">
        <is>
          <t>Allmännings- och besparingsskogar</t>
        </is>
      </c>
      <c r="G3481" t="n">
        <v>4.5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48751-2021</t>
        </is>
      </c>
      <c r="B3482" s="1" t="n">
        <v>44452</v>
      </c>
      <c r="C3482" s="1" t="n">
        <v>45828</v>
      </c>
      <c r="D3482" t="inlineStr">
        <is>
          <t>JÖNKÖPINGS LÄN</t>
        </is>
      </c>
      <c r="E3482" t="inlineStr">
        <is>
          <t>TRANÅS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48777-2021</t>
        </is>
      </c>
      <c r="B3483" s="1" t="n">
        <v>44452</v>
      </c>
      <c r="C3483" s="1" t="n">
        <v>45828</v>
      </c>
      <c r="D3483" t="inlineStr">
        <is>
          <t>JÖNKÖPINGS LÄN</t>
        </is>
      </c>
      <c r="E3483" t="inlineStr">
        <is>
          <t>VAGGERYD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48958-2021</t>
        </is>
      </c>
      <c r="B3484" s="1" t="n">
        <v>44453</v>
      </c>
      <c r="C3484" s="1" t="n">
        <v>45828</v>
      </c>
      <c r="D3484" t="inlineStr">
        <is>
          <t>JÖNKÖPINGS LÄN</t>
        </is>
      </c>
      <c r="E3484" t="inlineStr">
        <is>
          <t>NÄSSJÖ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48912-2021</t>
        </is>
      </c>
      <c r="B3485" s="1" t="n">
        <v>44453</v>
      </c>
      <c r="C3485" s="1" t="n">
        <v>45828</v>
      </c>
      <c r="D3485" t="inlineStr">
        <is>
          <t>JÖNKÖPINGS LÄN</t>
        </is>
      </c>
      <c r="E3485" t="inlineStr">
        <is>
          <t>VETLANDA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48998-2021</t>
        </is>
      </c>
      <c r="B3486" s="1" t="n">
        <v>44453</v>
      </c>
      <c r="C3486" s="1" t="n">
        <v>45828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48907-2021</t>
        </is>
      </c>
      <c r="B3487" s="1" t="n">
        <v>44453</v>
      </c>
      <c r="C3487" s="1" t="n">
        <v>45828</v>
      </c>
      <c r="D3487" t="inlineStr">
        <is>
          <t>JÖNKÖPINGS LÄN</t>
        </is>
      </c>
      <c r="E3487" t="inlineStr">
        <is>
          <t>VETLANDA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49014-2021</t>
        </is>
      </c>
      <c r="B3488" s="1" t="n">
        <v>44453</v>
      </c>
      <c r="C3488" s="1" t="n">
        <v>45828</v>
      </c>
      <c r="D3488" t="inlineStr">
        <is>
          <t>JÖNKÖPINGS LÄN</t>
        </is>
      </c>
      <c r="E3488" t="inlineStr">
        <is>
          <t>VETLANDA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49128-2021</t>
        </is>
      </c>
      <c r="B3489" s="1" t="n">
        <v>44453</v>
      </c>
      <c r="C3489" s="1" t="n">
        <v>45828</v>
      </c>
      <c r="D3489" t="inlineStr">
        <is>
          <t>JÖNKÖPINGS LÄN</t>
        </is>
      </c>
      <c r="E3489" t="inlineStr">
        <is>
          <t>VAGGERYD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49153-2021</t>
        </is>
      </c>
      <c r="B3490" s="1" t="n">
        <v>44454</v>
      </c>
      <c r="C3490" s="1" t="n">
        <v>45828</v>
      </c>
      <c r="D3490" t="inlineStr">
        <is>
          <t>JÖNKÖPINGS LÄN</t>
        </is>
      </c>
      <c r="E3490" t="inlineStr">
        <is>
          <t>VAGGERYD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49131-2021</t>
        </is>
      </c>
      <c r="B3491" s="1" t="n">
        <v>44453</v>
      </c>
      <c r="C3491" s="1" t="n">
        <v>45828</v>
      </c>
      <c r="D3491" t="inlineStr">
        <is>
          <t>JÖNKÖPINGS LÄN</t>
        </is>
      </c>
      <c r="E3491" t="inlineStr">
        <is>
          <t>VAGGERYD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49133-2021</t>
        </is>
      </c>
      <c r="B3492" s="1" t="n">
        <v>44453</v>
      </c>
      <c r="C3492" s="1" t="n">
        <v>45828</v>
      </c>
      <c r="D3492" t="inlineStr">
        <is>
          <t>JÖNKÖPINGS LÄN</t>
        </is>
      </c>
      <c r="E3492" t="inlineStr">
        <is>
          <t>VAGGERYD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49152-2021</t>
        </is>
      </c>
      <c r="B3493" s="1" t="n">
        <v>44454</v>
      </c>
      <c r="C3493" s="1" t="n">
        <v>45828</v>
      </c>
      <c r="D3493" t="inlineStr">
        <is>
          <t>JÖNKÖPINGS LÄN</t>
        </is>
      </c>
      <c r="E3493" t="inlineStr">
        <is>
          <t>VAGGERYD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49130-2021</t>
        </is>
      </c>
      <c r="B3494" s="1" t="n">
        <v>44453</v>
      </c>
      <c r="C3494" s="1" t="n">
        <v>45828</v>
      </c>
      <c r="D3494" t="inlineStr">
        <is>
          <t>JÖNKÖPINGS LÄN</t>
        </is>
      </c>
      <c r="E3494" t="inlineStr">
        <is>
          <t>VAGGERYD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49181-2021</t>
        </is>
      </c>
      <c r="B3495" s="1" t="n">
        <v>44454</v>
      </c>
      <c r="C3495" s="1" t="n">
        <v>45828</v>
      </c>
      <c r="D3495" t="inlineStr">
        <is>
          <t>JÖNKÖPINGS LÄN</t>
        </is>
      </c>
      <c r="E3495" t="inlineStr">
        <is>
          <t>GISLAVED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49263-2021</t>
        </is>
      </c>
      <c r="B3496" s="1" t="n">
        <v>44454</v>
      </c>
      <c r="C3496" s="1" t="n">
        <v>45828</v>
      </c>
      <c r="D3496" t="inlineStr">
        <is>
          <t>JÖNKÖPINGS LÄN</t>
        </is>
      </c>
      <c r="E3496" t="inlineStr">
        <is>
          <t>VAGGERYD</t>
        </is>
      </c>
      <c r="F3496" t="inlineStr">
        <is>
          <t>Sveaskog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49215-2021</t>
        </is>
      </c>
      <c r="B3497" s="1" t="n">
        <v>44454</v>
      </c>
      <c r="C3497" s="1" t="n">
        <v>45828</v>
      </c>
      <c r="D3497" t="inlineStr">
        <is>
          <t>JÖNKÖPINGS LÄN</t>
        </is>
      </c>
      <c r="E3497" t="inlineStr">
        <is>
          <t>JÖNKÖPING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49258-2021</t>
        </is>
      </c>
      <c r="B3498" s="1" t="n">
        <v>44454</v>
      </c>
      <c r="C3498" s="1" t="n">
        <v>45828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49182-2021</t>
        </is>
      </c>
      <c r="B3499" s="1" t="n">
        <v>44454</v>
      </c>
      <c r="C3499" s="1" t="n">
        <v>45828</v>
      </c>
      <c r="D3499" t="inlineStr">
        <is>
          <t>JÖNKÖPINGS LÄN</t>
        </is>
      </c>
      <c r="E3499" t="inlineStr">
        <is>
          <t>GISLAVED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49265-2021</t>
        </is>
      </c>
      <c r="B3500" s="1" t="n">
        <v>44454</v>
      </c>
      <c r="C3500" s="1" t="n">
        <v>45828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49228-2021</t>
        </is>
      </c>
      <c r="B3501" s="1" t="n">
        <v>44454</v>
      </c>
      <c r="C3501" s="1" t="n">
        <v>45828</v>
      </c>
      <c r="D3501" t="inlineStr">
        <is>
          <t>JÖNKÖPINGS LÄN</t>
        </is>
      </c>
      <c r="E3501" t="inlineStr">
        <is>
          <t>VETLANDA</t>
        </is>
      </c>
      <c r="F3501" t="inlineStr">
        <is>
          <t>Sveaskog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49256-2021</t>
        </is>
      </c>
      <c r="B3502" s="1" t="n">
        <v>44454</v>
      </c>
      <c r="C3502" s="1" t="n">
        <v>45828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49292-2021</t>
        </is>
      </c>
      <c r="B3503" s="1" t="n">
        <v>44454</v>
      </c>
      <c r="C3503" s="1" t="n">
        <v>45828</v>
      </c>
      <c r="D3503" t="inlineStr">
        <is>
          <t>JÖNKÖPINGS LÄN</t>
        </is>
      </c>
      <c r="E3503" t="inlineStr">
        <is>
          <t>JÖNKÖPING</t>
        </is>
      </c>
      <c r="G3503" t="n">
        <v>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49318-2021</t>
        </is>
      </c>
      <c r="B3504" s="1" t="n">
        <v>44454</v>
      </c>
      <c r="C3504" s="1" t="n">
        <v>45828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49403-2021</t>
        </is>
      </c>
      <c r="B3505" s="1" t="n">
        <v>44454</v>
      </c>
      <c r="C3505" s="1" t="n">
        <v>45828</v>
      </c>
      <c r="D3505" t="inlineStr">
        <is>
          <t>JÖNKÖPINGS LÄN</t>
        </is>
      </c>
      <c r="E3505" t="inlineStr">
        <is>
          <t>EKSJÖ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49435-2021</t>
        </is>
      </c>
      <c r="B3506" s="1" t="n">
        <v>44454</v>
      </c>
      <c r="C3506" s="1" t="n">
        <v>45828</v>
      </c>
      <c r="D3506" t="inlineStr">
        <is>
          <t>JÖNKÖPINGS LÄN</t>
        </is>
      </c>
      <c r="E3506" t="inlineStr">
        <is>
          <t>EKSJÖ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49436-2021</t>
        </is>
      </c>
      <c r="B3507" s="1" t="n">
        <v>44454</v>
      </c>
      <c r="C3507" s="1" t="n">
        <v>45828</v>
      </c>
      <c r="D3507" t="inlineStr">
        <is>
          <t>JÖNKÖPINGS LÄN</t>
        </is>
      </c>
      <c r="E3507" t="inlineStr">
        <is>
          <t>JÖNKÖPING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49376-2021</t>
        </is>
      </c>
      <c r="B3508" s="1" t="n">
        <v>44454</v>
      </c>
      <c r="C3508" s="1" t="n">
        <v>45828</v>
      </c>
      <c r="D3508" t="inlineStr">
        <is>
          <t>JÖNKÖPINGS LÄN</t>
        </is>
      </c>
      <c r="E3508" t="inlineStr">
        <is>
          <t>NÄSSJÖ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49389-2021</t>
        </is>
      </c>
      <c r="B3509" s="1" t="n">
        <v>44454</v>
      </c>
      <c r="C3509" s="1" t="n">
        <v>45828</v>
      </c>
      <c r="D3509" t="inlineStr">
        <is>
          <t>JÖNKÖPINGS LÄN</t>
        </is>
      </c>
      <c r="E3509" t="inlineStr">
        <is>
          <t>NÄSSJÖ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49412-2021</t>
        </is>
      </c>
      <c r="B3510" s="1" t="n">
        <v>44454</v>
      </c>
      <c r="C3510" s="1" t="n">
        <v>45828</v>
      </c>
      <c r="D3510" t="inlineStr">
        <is>
          <t>JÖNKÖPINGS LÄN</t>
        </is>
      </c>
      <c r="E3510" t="inlineStr">
        <is>
          <t>EKSJÖ</t>
        </is>
      </c>
      <c r="G3510" t="n">
        <v>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49551-2021</t>
        </is>
      </c>
      <c r="B3511" s="1" t="n">
        <v>44455</v>
      </c>
      <c r="C3511" s="1" t="n">
        <v>45828</v>
      </c>
      <c r="D3511" t="inlineStr">
        <is>
          <t>JÖNKÖPINGS LÄN</t>
        </is>
      </c>
      <c r="E3511" t="inlineStr">
        <is>
          <t>JÖNKÖPING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49577-2021</t>
        </is>
      </c>
      <c r="B3512" s="1" t="n">
        <v>44455</v>
      </c>
      <c r="C3512" s="1" t="n">
        <v>45828</v>
      </c>
      <c r="D3512" t="inlineStr">
        <is>
          <t>JÖNKÖPINGS LÄN</t>
        </is>
      </c>
      <c r="E3512" t="inlineStr">
        <is>
          <t>HABO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49590-2021</t>
        </is>
      </c>
      <c r="B3513" s="1" t="n">
        <v>44455</v>
      </c>
      <c r="C3513" s="1" t="n">
        <v>45828</v>
      </c>
      <c r="D3513" t="inlineStr">
        <is>
          <t>JÖNKÖPINGS LÄN</t>
        </is>
      </c>
      <c r="E3513" t="inlineStr">
        <is>
          <t>GISLAVED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49720-2021</t>
        </is>
      </c>
      <c r="B3514" s="1" t="n">
        <v>44455</v>
      </c>
      <c r="C3514" s="1" t="n">
        <v>45828</v>
      </c>
      <c r="D3514" t="inlineStr">
        <is>
          <t>JÖNKÖPINGS LÄN</t>
        </is>
      </c>
      <c r="E3514" t="inlineStr">
        <is>
          <t>GNOSJÖ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49870-2021</t>
        </is>
      </c>
      <c r="B3515" s="1" t="n">
        <v>44455</v>
      </c>
      <c r="C3515" s="1" t="n">
        <v>45828</v>
      </c>
      <c r="D3515" t="inlineStr">
        <is>
          <t>JÖNKÖPINGS LÄN</t>
        </is>
      </c>
      <c r="E3515" t="inlineStr">
        <is>
          <t>ANEBY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49593-2021</t>
        </is>
      </c>
      <c r="B3516" s="1" t="n">
        <v>44455</v>
      </c>
      <c r="C3516" s="1" t="n">
        <v>45828</v>
      </c>
      <c r="D3516" t="inlineStr">
        <is>
          <t>JÖNKÖPINGS LÄN</t>
        </is>
      </c>
      <c r="E3516" t="inlineStr">
        <is>
          <t>GISLAVED</t>
        </is>
      </c>
      <c r="G3516" t="n">
        <v>10.7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49681-2021</t>
        </is>
      </c>
      <c r="B3517" s="1" t="n">
        <v>44455</v>
      </c>
      <c r="C3517" s="1" t="n">
        <v>45828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49709-2021</t>
        </is>
      </c>
      <c r="B3518" s="1" t="n">
        <v>44455</v>
      </c>
      <c r="C3518" s="1" t="n">
        <v>45828</v>
      </c>
      <c r="D3518" t="inlineStr">
        <is>
          <t>JÖNKÖPINGS LÄN</t>
        </is>
      </c>
      <c r="E3518" t="inlineStr">
        <is>
          <t>NÄSSJÖ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49725-2021</t>
        </is>
      </c>
      <c r="B3519" s="1" t="n">
        <v>44455</v>
      </c>
      <c r="C3519" s="1" t="n">
        <v>45828</v>
      </c>
      <c r="D3519" t="inlineStr">
        <is>
          <t>JÖNKÖPINGS LÄN</t>
        </is>
      </c>
      <c r="E3519" t="inlineStr">
        <is>
          <t>GNOSJÖ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49682-2021</t>
        </is>
      </c>
      <c r="B3520" s="1" t="n">
        <v>44455</v>
      </c>
      <c r="C3520" s="1" t="n">
        <v>45828</v>
      </c>
      <c r="D3520" t="inlineStr">
        <is>
          <t>JÖNKÖPINGS LÄN</t>
        </is>
      </c>
      <c r="E3520" t="inlineStr">
        <is>
          <t>GISLAVED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49813-2021</t>
        </is>
      </c>
      <c r="B3521" s="1" t="n">
        <v>44455</v>
      </c>
      <c r="C3521" s="1" t="n">
        <v>45828</v>
      </c>
      <c r="D3521" t="inlineStr">
        <is>
          <t>JÖNKÖPINGS LÄN</t>
        </is>
      </c>
      <c r="E3521" t="inlineStr">
        <is>
          <t>ANEBY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49942-2021</t>
        </is>
      </c>
      <c r="B3522" s="1" t="n">
        <v>44456</v>
      </c>
      <c r="C3522" s="1" t="n">
        <v>45828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49883-2021</t>
        </is>
      </c>
      <c r="B3523" s="1" t="n">
        <v>44455</v>
      </c>
      <c r="C3523" s="1" t="n">
        <v>45828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Kyrkan</t>
        </is>
      </c>
      <c r="G3523" t="n">
        <v>14.1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49814-2021</t>
        </is>
      </c>
      <c r="B3524" s="1" t="n">
        <v>44455</v>
      </c>
      <c r="C3524" s="1" t="n">
        <v>45828</v>
      </c>
      <c r="D3524" t="inlineStr">
        <is>
          <t>JÖNKÖPINGS LÄN</t>
        </is>
      </c>
      <c r="E3524" t="inlineStr">
        <is>
          <t>ANEBY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49868-2021</t>
        </is>
      </c>
      <c r="B3525" s="1" t="n">
        <v>44455</v>
      </c>
      <c r="C3525" s="1" t="n">
        <v>45828</v>
      </c>
      <c r="D3525" t="inlineStr">
        <is>
          <t>JÖNKÖPINGS LÄN</t>
        </is>
      </c>
      <c r="E3525" t="inlineStr">
        <is>
          <t>TRANÅS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50024-2021</t>
        </is>
      </c>
      <c r="B3526" s="1" t="n">
        <v>44456</v>
      </c>
      <c r="C3526" s="1" t="n">
        <v>45828</v>
      </c>
      <c r="D3526" t="inlineStr">
        <is>
          <t>JÖNKÖPINGS LÄN</t>
        </is>
      </c>
      <c r="E3526" t="inlineStr">
        <is>
          <t>VÄRNAMO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49956-2021</t>
        </is>
      </c>
      <c r="B3527" s="1" t="n">
        <v>44456</v>
      </c>
      <c r="C3527" s="1" t="n">
        <v>45828</v>
      </c>
      <c r="D3527" t="inlineStr">
        <is>
          <t>JÖNKÖPINGS LÄN</t>
        </is>
      </c>
      <c r="E3527" t="inlineStr">
        <is>
          <t>GISLAVED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49965-2021</t>
        </is>
      </c>
      <c r="B3528" s="1" t="n">
        <v>44456</v>
      </c>
      <c r="C3528" s="1" t="n">
        <v>45828</v>
      </c>
      <c r="D3528" t="inlineStr">
        <is>
          <t>JÖNKÖPINGS LÄN</t>
        </is>
      </c>
      <c r="E3528" t="inlineStr">
        <is>
          <t>GISLAVED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50003-2021</t>
        </is>
      </c>
      <c r="B3529" s="1" t="n">
        <v>44456</v>
      </c>
      <c r="C3529" s="1" t="n">
        <v>45828</v>
      </c>
      <c r="D3529" t="inlineStr">
        <is>
          <t>JÖNKÖPINGS LÄN</t>
        </is>
      </c>
      <c r="E3529" t="inlineStr">
        <is>
          <t>JÖNKÖPING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50131-2021</t>
        </is>
      </c>
      <c r="B3530" s="1" t="n">
        <v>44456</v>
      </c>
      <c r="C3530" s="1" t="n">
        <v>45828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50154-2021</t>
        </is>
      </c>
      <c r="B3531" s="1" t="n">
        <v>44456</v>
      </c>
      <c r="C3531" s="1" t="n">
        <v>45828</v>
      </c>
      <c r="D3531" t="inlineStr">
        <is>
          <t>JÖNKÖPINGS LÄN</t>
        </is>
      </c>
      <c r="E3531" t="inlineStr">
        <is>
          <t>GNOSJÖ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50161-2021</t>
        </is>
      </c>
      <c r="B3532" s="1" t="n">
        <v>44456</v>
      </c>
      <c r="C3532" s="1" t="n">
        <v>45828</v>
      </c>
      <c r="D3532" t="inlineStr">
        <is>
          <t>JÖNKÖPINGS LÄN</t>
        </is>
      </c>
      <c r="E3532" t="inlineStr">
        <is>
          <t>MULLSJÖ</t>
        </is>
      </c>
      <c r="F3532" t="inlineStr">
        <is>
          <t>Kommuner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50324-2021</t>
        </is>
      </c>
      <c r="B3533" s="1" t="n">
        <v>44456</v>
      </c>
      <c r="C3533" s="1" t="n">
        <v>45828</v>
      </c>
      <c r="D3533" t="inlineStr">
        <is>
          <t>JÖNKÖPINGS LÄN</t>
        </is>
      </c>
      <c r="E3533" t="inlineStr">
        <is>
          <t>GISLAVED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50471-2021</t>
        </is>
      </c>
      <c r="B3534" s="1" t="n">
        <v>44456</v>
      </c>
      <c r="C3534" s="1" t="n">
        <v>45828</v>
      </c>
      <c r="D3534" t="inlineStr">
        <is>
          <t>JÖNKÖPINGS LÄN</t>
        </is>
      </c>
      <c r="E3534" t="inlineStr">
        <is>
          <t>NÄSSJÖ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50477-2021</t>
        </is>
      </c>
      <c r="B3535" s="1" t="n">
        <v>44459</v>
      </c>
      <c r="C3535" s="1" t="n">
        <v>45828</v>
      </c>
      <c r="D3535" t="inlineStr">
        <is>
          <t>JÖNKÖPINGS LÄN</t>
        </is>
      </c>
      <c r="E3535" t="inlineStr">
        <is>
          <t>NÄSSJÖ</t>
        </is>
      </c>
      <c r="G3535" t="n">
        <v>6.1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50285-2021</t>
        </is>
      </c>
      <c r="B3536" s="1" t="n">
        <v>44459</v>
      </c>
      <c r="C3536" s="1" t="n">
        <v>45828</v>
      </c>
      <c r="D3536" t="inlineStr">
        <is>
          <t>JÖNKÖPINGS LÄN</t>
        </is>
      </c>
      <c r="E3536" t="inlineStr">
        <is>
          <t>VETLANDA</t>
        </is>
      </c>
      <c r="G3536" t="n">
        <v>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50519-2021</t>
        </is>
      </c>
      <c r="B3537" s="1" t="n">
        <v>44459</v>
      </c>
      <c r="C3537" s="1" t="n">
        <v>45828</v>
      </c>
      <c r="D3537" t="inlineStr">
        <is>
          <t>JÖNKÖPINGS LÄN</t>
        </is>
      </c>
      <c r="E3537" t="inlineStr">
        <is>
          <t>VÄRNAMO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50663-2021</t>
        </is>
      </c>
      <c r="B3538" s="1" t="n">
        <v>44459</v>
      </c>
      <c r="C3538" s="1" t="n">
        <v>45828</v>
      </c>
      <c r="D3538" t="inlineStr">
        <is>
          <t>JÖNKÖPINGS LÄN</t>
        </is>
      </c>
      <c r="E3538" t="inlineStr">
        <is>
          <t>GISLAVED</t>
        </is>
      </c>
      <c r="G3538" t="n">
        <v>2.8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50676-2021</t>
        </is>
      </c>
      <c r="B3539" s="1" t="n">
        <v>44459</v>
      </c>
      <c r="C3539" s="1" t="n">
        <v>45828</v>
      </c>
      <c r="D3539" t="inlineStr">
        <is>
          <t>JÖNKÖPINGS LÄN</t>
        </is>
      </c>
      <c r="E3539" t="inlineStr">
        <is>
          <t>VETLANDA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50850-2021</t>
        </is>
      </c>
      <c r="B3540" s="1" t="n">
        <v>44459</v>
      </c>
      <c r="C3540" s="1" t="n">
        <v>45828</v>
      </c>
      <c r="D3540" t="inlineStr">
        <is>
          <t>JÖNKÖPINGS LÄN</t>
        </is>
      </c>
      <c r="E3540" t="inlineStr">
        <is>
          <t>NÄSSJÖ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50695-2021</t>
        </is>
      </c>
      <c r="B3541" s="1" t="n">
        <v>44459</v>
      </c>
      <c r="C3541" s="1" t="n">
        <v>45828</v>
      </c>
      <c r="D3541" t="inlineStr">
        <is>
          <t>JÖNKÖPINGS LÄN</t>
        </is>
      </c>
      <c r="E3541" t="inlineStr">
        <is>
          <t>VETLANDA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50856-2021</t>
        </is>
      </c>
      <c r="B3542" s="1" t="n">
        <v>44459</v>
      </c>
      <c r="C3542" s="1" t="n">
        <v>45828</v>
      </c>
      <c r="D3542" t="inlineStr">
        <is>
          <t>JÖNKÖPINGS LÄN</t>
        </is>
      </c>
      <c r="E3542" t="inlineStr">
        <is>
          <t>NÄSSJÖ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50872-2021</t>
        </is>
      </c>
      <c r="B3543" s="1" t="n">
        <v>44459</v>
      </c>
      <c r="C3543" s="1" t="n">
        <v>45828</v>
      </c>
      <c r="D3543" t="inlineStr">
        <is>
          <t>JÖNKÖPINGS LÄN</t>
        </is>
      </c>
      <c r="E3543" t="inlineStr">
        <is>
          <t>NÄSSJÖ</t>
        </is>
      </c>
      <c r="G3543" t="n">
        <v>4.3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50972-2021</t>
        </is>
      </c>
      <c r="B3544" s="1" t="n">
        <v>44459</v>
      </c>
      <c r="C3544" s="1" t="n">
        <v>45828</v>
      </c>
      <c r="D3544" t="inlineStr">
        <is>
          <t>JÖNKÖPINGS LÄN</t>
        </is>
      </c>
      <c r="E3544" t="inlineStr">
        <is>
          <t>NÄSSJÖ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50690-2021</t>
        </is>
      </c>
      <c r="B3545" s="1" t="n">
        <v>44459</v>
      </c>
      <c r="C3545" s="1" t="n">
        <v>45828</v>
      </c>
      <c r="D3545" t="inlineStr">
        <is>
          <t>JÖNKÖPINGS LÄN</t>
        </is>
      </c>
      <c r="E3545" t="inlineStr">
        <is>
          <t>VETLANDA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50862-2021</t>
        </is>
      </c>
      <c r="B3546" s="1" t="n">
        <v>44459</v>
      </c>
      <c r="C3546" s="1" t="n">
        <v>45828</v>
      </c>
      <c r="D3546" t="inlineStr">
        <is>
          <t>JÖNKÖPINGS LÄN</t>
        </is>
      </c>
      <c r="E3546" t="inlineStr">
        <is>
          <t>NÄSSJÖ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50970-2021</t>
        </is>
      </c>
      <c r="B3547" s="1" t="n">
        <v>44459</v>
      </c>
      <c r="C3547" s="1" t="n">
        <v>45828</v>
      </c>
      <c r="D3547" t="inlineStr">
        <is>
          <t>JÖNKÖPINGS LÄN</t>
        </is>
      </c>
      <c r="E3547" t="inlineStr">
        <is>
          <t>NÄSSJÖ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51058-2021</t>
        </is>
      </c>
      <c r="B3548" s="1" t="n">
        <v>44459</v>
      </c>
      <c r="C3548" s="1" t="n">
        <v>45828</v>
      </c>
      <c r="D3548" t="inlineStr">
        <is>
          <t>JÖNKÖPINGS LÄN</t>
        </is>
      </c>
      <c r="E3548" t="inlineStr">
        <is>
          <t>JÖNKÖPING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50684-2021</t>
        </is>
      </c>
      <c r="B3549" s="1" t="n">
        <v>44460</v>
      </c>
      <c r="C3549" s="1" t="n">
        <v>45828</v>
      </c>
      <c r="D3549" t="inlineStr">
        <is>
          <t>JÖNKÖPINGS LÄN</t>
        </is>
      </c>
      <c r="E3549" t="inlineStr">
        <is>
          <t>TRANÅS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50740-2021</t>
        </is>
      </c>
      <c r="B3550" s="1" t="n">
        <v>44460</v>
      </c>
      <c r="C3550" s="1" t="n">
        <v>45828</v>
      </c>
      <c r="D3550" t="inlineStr">
        <is>
          <t>JÖNKÖPINGS LÄN</t>
        </is>
      </c>
      <c r="E3550" t="inlineStr">
        <is>
          <t>VETLANDA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50687-2021</t>
        </is>
      </c>
      <c r="B3551" s="1" t="n">
        <v>44460</v>
      </c>
      <c r="C3551" s="1" t="n">
        <v>45828</v>
      </c>
      <c r="D3551" t="inlineStr">
        <is>
          <t>JÖNKÖPINGS LÄN</t>
        </is>
      </c>
      <c r="E3551" t="inlineStr">
        <is>
          <t>TRANÅS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50718-2021</t>
        </is>
      </c>
      <c r="B3552" s="1" t="n">
        <v>44460</v>
      </c>
      <c r="C3552" s="1" t="n">
        <v>45828</v>
      </c>
      <c r="D3552" t="inlineStr">
        <is>
          <t>JÖNKÖPINGS LÄN</t>
        </is>
      </c>
      <c r="E3552" t="inlineStr">
        <is>
          <t>NÄSSJÖ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50801-2021</t>
        </is>
      </c>
      <c r="B3553" s="1" t="n">
        <v>44460</v>
      </c>
      <c r="C3553" s="1" t="n">
        <v>45828</v>
      </c>
      <c r="D3553" t="inlineStr">
        <is>
          <t>JÖNKÖPINGS LÄN</t>
        </is>
      </c>
      <c r="E3553" t="inlineStr">
        <is>
          <t>VETLANDA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50836-2021</t>
        </is>
      </c>
      <c r="B3554" s="1" t="n">
        <v>44460</v>
      </c>
      <c r="C3554" s="1" t="n">
        <v>45828</v>
      </c>
      <c r="D3554" t="inlineStr">
        <is>
          <t>JÖNKÖPINGS LÄN</t>
        </is>
      </c>
      <c r="E3554" t="inlineStr">
        <is>
          <t>NÄSSJÖ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50967-2021</t>
        </is>
      </c>
      <c r="B3555" s="1" t="n">
        <v>44460</v>
      </c>
      <c r="C3555" s="1" t="n">
        <v>45828</v>
      </c>
      <c r="D3555" t="inlineStr">
        <is>
          <t>JÖNKÖPINGS LÄN</t>
        </is>
      </c>
      <c r="E3555" t="inlineStr">
        <is>
          <t>EKSJÖ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50997-2021</t>
        </is>
      </c>
      <c r="B3556" s="1" t="n">
        <v>44460</v>
      </c>
      <c r="C3556" s="1" t="n">
        <v>45828</v>
      </c>
      <c r="D3556" t="inlineStr">
        <is>
          <t>JÖNKÖPINGS LÄN</t>
        </is>
      </c>
      <c r="E3556" t="inlineStr">
        <is>
          <t>VÄRNAMO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51452-2021</t>
        </is>
      </c>
      <c r="B3557" s="1" t="n">
        <v>44460</v>
      </c>
      <c r="C3557" s="1" t="n">
        <v>45828</v>
      </c>
      <c r="D3557" t="inlineStr">
        <is>
          <t>JÖNKÖPINGS LÄN</t>
        </is>
      </c>
      <c r="E3557" t="inlineStr">
        <is>
          <t>ANEBY</t>
        </is>
      </c>
      <c r="F3557" t="inlineStr">
        <is>
          <t>Övriga Aktiebolag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51309-2021</t>
        </is>
      </c>
      <c r="B3558" s="1" t="n">
        <v>44460</v>
      </c>
      <c r="C3558" s="1" t="n">
        <v>45828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51478-2021</t>
        </is>
      </c>
      <c r="B3559" s="1" t="n">
        <v>44460</v>
      </c>
      <c r="C3559" s="1" t="n">
        <v>45828</v>
      </c>
      <c r="D3559" t="inlineStr">
        <is>
          <t>JÖNKÖPINGS LÄN</t>
        </is>
      </c>
      <c r="E3559" t="inlineStr">
        <is>
          <t>NÄSSJÖ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51304-2021</t>
        </is>
      </c>
      <c r="B3560" s="1" t="n">
        <v>44460</v>
      </c>
      <c r="C3560" s="1" t="n">
        <v>45828</v>
      </c>
      <c r="D3560" t="inlineStr">
        <is>
          <t>JÖNKÖPINGS LÄN</t>
        </is>
      </c>
      <c r="E3560" t="inlineStr">
        <is>
          <t>VETLANDA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51298-2021</t>
        </is>
      </c>
      <c r="B3561" s="1" t="n">
        <v>44460</v>
      </c>
      <c r="C3561" s="1" t="n">
        <v>45828</v>
      </c>
      <c r="D3561" t="inlineStr">
        <is>
          <t>JÖNKÖPINGS LÄN</t>
        </is>
      </c>
      <c r="E3561" t="inlineStr">
        <is>
          <t>VETLANDA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51453-2021</t>
        </is>
      </c>
      <c r="B3562" s="1" t="n">
        <v>44460</v>
      </c>
      <c r="C3562" s="1" t="n">
        <v>45828</v>
      </c>
      <c r="D3562" t="inlineStr">
        <is>
          <t>JÖNKÖPINGS LÄN</t>
        </is>
      </c>
      <c r="E3562" t="inlineStr">
        <is>
          <t>ANEBY</t>
        </is>
      </c>
      <c r="F3562" t="inlineStr">
        <is>
          <t>Övriga Aktiebolag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45828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45828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45828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45828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45828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45828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45828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45828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45828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45828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45828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45828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45828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45828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45828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45828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45828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45828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45828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45828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45828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45828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45828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45828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45828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45828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45828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45828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45828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45828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45828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45828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45828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45828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45828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45828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45828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45828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45828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45828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45828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45828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45828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45828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45828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45828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45828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45828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45828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45828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45828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45828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45828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45828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45828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45828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45828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45828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45828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45828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45828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45828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45828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45828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45828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45828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45828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45828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45828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45828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45828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45828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45828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45828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45828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45828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45828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45828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45828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45828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45828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45828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45828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45828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45828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45828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45828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45828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45828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45828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45828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45828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45828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45828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45828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45828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45828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45828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45828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45828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45828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45828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45828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45828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45828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45828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45828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45828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45828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45828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45828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45828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45828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45828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45828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45828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45828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45828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45828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45828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45828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45828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45828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45828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45828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45828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45828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45828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45828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45828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45828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45828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45828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45828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45828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45828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45828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45828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45828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45828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45828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45828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45828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45828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45828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45828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45828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45828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45828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45828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45828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45828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45828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45828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45828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45828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45828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45828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45828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45828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45828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45828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45828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45828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45828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45828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45828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45828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45828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45828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45828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45828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45828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45828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45828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45828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45828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45828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45828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45828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45828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45828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45828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45828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45828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45828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45828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45828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45828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45828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45828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45828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45828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45828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45828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45828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45828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45828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45828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45828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45828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45828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45828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45828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45828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45828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45828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45828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45828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45828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45828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45828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45828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45828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45828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45828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45828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45828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45828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45828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45828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45828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45828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45828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45828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45828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45828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45828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45828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45828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45828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45828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45828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45828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45828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45828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45828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45828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45828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45828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45828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45828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45828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45828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45828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45828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45828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45828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45828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45828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45828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45828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45828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45828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45828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45828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45828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45828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45828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45828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45828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45828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45828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45828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45828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45828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45828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45828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45828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45828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45828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45828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45828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45828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45828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45828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45828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45828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45828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45828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45828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45828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45828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45828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45828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45828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45828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45828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45828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45828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45828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45828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45828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45828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45828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45828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45828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45828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45828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45828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45828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45828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45828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45828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45828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45828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45828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45828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45828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45828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45828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45828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45828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45828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45828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45828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45828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45828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45828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45828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45828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45828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45828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45828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45828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45828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45828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45828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45828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45828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45828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45828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45828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45828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45828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45828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45828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45828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45828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45828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45828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45828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45828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45828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45828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45828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45828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45828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45828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45828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45828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45828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45828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45828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45828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45828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45828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45828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45828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45828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45828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45828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45828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45828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45828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45828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45828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45828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45828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45828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45828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45828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45828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45828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45828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45828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45828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45828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45828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45828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45828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45828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45828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45828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45828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45828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45828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45828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45828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45828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45828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45828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45828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45828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45828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45828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45828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45828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45828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45828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45828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45828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45828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45828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45828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45828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45828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45828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45828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45828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45828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45828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45828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45828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45828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45828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45828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45828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45828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45828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45828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45828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45828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45828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45828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45828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45828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45828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45828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45828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45828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45828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45828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45828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45828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45828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45828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45828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45828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45828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45828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45828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45828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45828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45828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45828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45828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45828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45828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45828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45828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45828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45828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45828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45828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45828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45828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45828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45828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45828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45828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45828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45828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45828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45828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45828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45828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45828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45828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45828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45828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45828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45828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45828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45828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45828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45828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45828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45828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45828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45828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45828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45828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45828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45828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45828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45828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45828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45828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45828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45828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45828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45828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45828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45828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45828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45828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45828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45828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45828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45828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45828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45828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45828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45828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45828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45828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45828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45828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45828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45828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45828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45828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45828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45828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45828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45828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45828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45828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45828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45828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45828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45828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45828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45828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45828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45828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45828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45828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45828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45828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45828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45828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45828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45828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45828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45828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45828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45828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45828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45828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45828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45828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45828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45828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45828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45828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45828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45828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45828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45828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45828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45828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45828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45828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45828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45828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45828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45828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45828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45828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45828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45828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45828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45828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45828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45828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45828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45828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45828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45828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45828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45828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45828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45828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45828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45828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45828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45828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45828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45828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45828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45828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45828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45828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45828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45828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45828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45828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45828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45828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45828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45828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45828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45828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45828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45828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45828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45828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45828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45828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45828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45828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45828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45828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45828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45828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45828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45828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45828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45828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45828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45828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45828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45828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45828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45828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45828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45828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45828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45828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45828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45828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45828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45828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45828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45828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45828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45828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45828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45828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45828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45828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45828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45828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45828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45828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45828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45828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45828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45828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45828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45828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45828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45828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45828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45828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45828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45828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45828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45828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45828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45828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45828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45828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45828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45828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45828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45828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45828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45828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45828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45828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45828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45828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45828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45828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45828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45828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45828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45828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45828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45828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45828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45828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45828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45828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45828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45828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45828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45828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45828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45828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45828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45828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45828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45828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45828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45828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45828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45828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45828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45828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45828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45828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45828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45828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45828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45828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45828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45828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45828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45828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45828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45828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45828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45828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45828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45828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45828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45828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45828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45828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45828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45828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45828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45828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45828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45828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45828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45828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45828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45828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45828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45828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45828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45828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45828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45828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45828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45828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45828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45828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45828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45828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45828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45828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45828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45828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45828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45828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45828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45828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45828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45828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45828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45828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45828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45828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45828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45828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45828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45828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45828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45828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45828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45828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45828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45828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45828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45828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45828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45828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45828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45828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45828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45828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45828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45828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45828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45828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45828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45828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45828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45828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45828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45828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45828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45828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45828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45828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45828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45828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45828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45828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45828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45828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45828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45828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45828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45828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45828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45828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45828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45828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45828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45828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45828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45828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45828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45828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45828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45828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45828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45828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45828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45828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45828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45828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45828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45828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45828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45828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45828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45828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45828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45828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45828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45828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45828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45828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45828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45828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45828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45828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45828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45828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45828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45828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45828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45828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45828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45828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45828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45828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45828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45828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45828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45828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45828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45828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45828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45828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45828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45828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45828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45828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45828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45828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45828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45828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45828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45828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45828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45828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45828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45828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45828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45828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45828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45828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45828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45828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45828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45828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45828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45828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45828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45828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45828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45828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45828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45828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45828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45828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45828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45828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45828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45828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45828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45828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45828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45828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45828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45828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45828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45828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45828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45828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45828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45828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45828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45828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45828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45828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45828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45828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45828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45828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45828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45828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45828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45828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45828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45828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45828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45828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45828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45828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45828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45828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45828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45828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45828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45828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45828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45828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45828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45828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45828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45828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45828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45828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45828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45828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45828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45828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45828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45828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45828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45828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45828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45828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45828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45828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45828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45828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45828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45828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45828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45828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45828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45828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45828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45828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45828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45828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45828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45828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45828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45828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45828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45828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45828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45828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45828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45828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45828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45828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45828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45828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45828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45828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45828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45828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45828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45828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45828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45828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45828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45828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45828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45828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45828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45828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45828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45828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45828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45828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45828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45828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45828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45828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45828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45828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45828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45828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45828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45828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45828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45828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45828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45828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45828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45828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45828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45828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45828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45828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45828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45828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45828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45828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45828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45828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45828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45828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45828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45828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45828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45828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45828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45828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45828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45828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45828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45828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45828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45828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45828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45828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45828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45828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45828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45828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45828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45828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45828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45828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45828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45828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45828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45828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45828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45828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45828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45828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45828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45828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45828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45828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45828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45828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45828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45828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45828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45828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45828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45828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45828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45828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45828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45828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45828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45828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45828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45828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45828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45828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45828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45828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45828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45828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45828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45828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45828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45828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45828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45828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45828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45828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45828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45828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45828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45828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45828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45828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45828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45828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45828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45828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45828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45828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45828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45828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45828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45828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45828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45828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45828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45828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45828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45828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45828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45828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45828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45828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45828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45828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45828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45828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45828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45828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45828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45828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45828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45828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45828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45828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45828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45828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45828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45828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45828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45828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45828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45828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45828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45828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45828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45828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45828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45828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45828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45828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45828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45828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45828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45828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45828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45828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45828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45828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45828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45828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45828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45828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45828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45828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45828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45828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45828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45828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45828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45828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45828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45828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45828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45828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45828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45828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45828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45828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45828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45828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45828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45828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45828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45828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45828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45828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45828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45828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45828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45828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45828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45828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45828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45828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45828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45828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45828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45828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45828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45828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45828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45828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45828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45828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45828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45828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45828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45828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45828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45828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45828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45828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45828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45828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45828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45828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45828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45828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45828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45828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45828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45828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45828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45828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45828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45828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45828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45828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45828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45828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45828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45828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45828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45828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45828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45828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45828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45828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45828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45828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45828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45828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45828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45828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45828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45828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45828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45828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45828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45828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45828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45828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45828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45828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45828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45828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45828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45828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45828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45828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45828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45828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45828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45828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45828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45828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45828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45828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45828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45828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45828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45828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45828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45828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45828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45828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45828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45828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45828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45828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45828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45828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45828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45828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45828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45828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45828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45828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45828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45828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45828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45828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45828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45828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45828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45828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45828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45828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45828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45828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45828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45828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45828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45828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45828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45828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45828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45828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45828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45828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45828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45828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45828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45828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45828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45828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45828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45828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45828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45828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45828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45828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45828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45828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45828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45828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45828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45828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45828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45828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45828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45828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45828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45828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45828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45828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45828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45828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45828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45828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45828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45828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45828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45828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45828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45828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45828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45828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45828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45828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45828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45828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45828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45828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45828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45828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45828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45828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45828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45828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45828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45828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45828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45828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45828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45828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45828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45828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45828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45828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45828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45828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45828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45828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45828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45828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45828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45828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45828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45828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45828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45828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45828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45828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45828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45828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45828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45828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45828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45828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45828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45828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45828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45828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45828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45828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45828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45828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45828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45828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45828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45828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45828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45828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45828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45828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45828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45828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45828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45828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45828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45828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45828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45828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45828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45828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45828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45828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45828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45828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45828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45828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45828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45828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45828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45828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45828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45828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45828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45828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45828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45828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45828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45828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45828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45828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45828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45828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45828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45828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45828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45828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45828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45828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45828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45828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45828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45828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45828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45828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45828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45828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45828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45828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45828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45828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45828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45828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45828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45828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45828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45828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45828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45828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45828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45828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45828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45828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45828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45828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45828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45828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45828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45828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45828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45828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45828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45828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45828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45828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45828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45828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45828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45828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45828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45828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45828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45828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45828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45828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45828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45828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45828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45828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45828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45828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45828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45828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45828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45828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45828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45828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45828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45828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45828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45828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45828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45828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45828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45828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45828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45828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45828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45828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45828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45828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45828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45828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45828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45828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45828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45828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45828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45828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45828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45828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45828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45828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45828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45828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45828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45828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45828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45828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45828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45828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45828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45828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45828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45828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45828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45828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45828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45828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45828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45828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45828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45828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45828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45828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45828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45828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45828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45828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45828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45828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45828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45828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45828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45828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45828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45828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45828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45828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45828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45828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45828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45828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45828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45828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45828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45828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45828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45828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45828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45828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45828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45828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45828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45828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45828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45828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45828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45828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45828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45828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45828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45828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45828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45828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45828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45828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45828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45828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45828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45828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45828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45828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45828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45828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45828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45828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45828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45828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45828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45828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45828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45828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45828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45828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45828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45828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45828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45828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45828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45828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45828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45828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45828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45828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45828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45828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45828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45828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45828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45828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45828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45828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45828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45828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45828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45828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45828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45828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45828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45828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45828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45828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45828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45828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45828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45828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45828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45828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45828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45828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45828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45828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45828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45828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45828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45828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45828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45828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45828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45828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45828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45828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45828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45828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45828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45828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45828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45828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45828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45828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45828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45828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45828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45828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45828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45828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45828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45828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45828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45828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45828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45828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45828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45828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45828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45828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45828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45828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45828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45828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45828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45828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45828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45828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45828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45828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45828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45828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45828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45828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45828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45828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45828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45828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45828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45828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45828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45828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45828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45828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45828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45828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45828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45828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45828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45828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45828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45828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45828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45828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45828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45828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45828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45828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45828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45828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45828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45828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45828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45828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45828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45828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45828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45828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45828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45828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45828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45828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45828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45828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45828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45828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45828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45828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45828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45828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45828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45828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45828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45828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45828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45828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45828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45828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45828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45828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45828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45828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45828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45828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45828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45828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45828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45828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45828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45828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45828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45828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45828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45828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45828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45828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45828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45828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45828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45828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45828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45828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45828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45828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45828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45828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45828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45828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45828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45828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45828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45828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45828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45828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45828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45828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45828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45828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45828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45828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45828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45828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45828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45828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45828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45828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45828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45828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45828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45828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45828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45828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45828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45828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45828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45828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45828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45828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45828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45828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45828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45828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45828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45828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45828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45828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45828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45828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45828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45828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45828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45828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45828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45828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45828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45828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45828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45828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45828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45828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45828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45828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45828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45828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45828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45828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45828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45828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45828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45828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45828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45828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45828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45828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45828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45828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45828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45828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45828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45828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45828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45828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45828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45828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45828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45828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45828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45828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45828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45828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45828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45828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45828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45828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45828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45828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45828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45828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45828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45828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45828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45828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45828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45828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45828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45828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45828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45828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45828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45828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45828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45828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45828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45828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45828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45828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45828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45828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45828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45828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45828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45828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45828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45828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45828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45828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45828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45828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45828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45828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45828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45828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45828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45828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45828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45828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45828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45828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45828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45828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45828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45828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45828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45828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45828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45828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45828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45828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45828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45828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45828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45828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45828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45828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45828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45828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45828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45828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45828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45828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45828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45828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45828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45828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45828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45828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45828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45828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45828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45828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45828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45828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45828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45828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45828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45828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45828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45828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45828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45828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45828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45828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45828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45828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45828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45828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45828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45828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45828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45828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45828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45828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45828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45828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45828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45828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45828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45828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45828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45828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45828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45828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45828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45828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45828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45828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45828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45828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45828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45828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45828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45828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45828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45828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45828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45828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45828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45828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45828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45828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45828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45828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45828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45828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45828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45828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45828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45828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45828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45828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45828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45828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45828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45828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45828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45828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45828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45828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45828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45828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45828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45828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45828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45828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45828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45828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45828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45828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45828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45828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45828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45828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45828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45828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45828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45828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45828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45828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45828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45828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45828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45828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45828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45828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45828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45828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45828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45828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45828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45828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45828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45828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45828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45828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45828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45828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45828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45828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45828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45828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45828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45828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45828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45828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45828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45828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45828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45828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45828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45828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45828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45828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45828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45828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45828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45828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45828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45828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45828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45828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45828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45828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45828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45828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45828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45828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45828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45828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45828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45828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45828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45828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45828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45828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45828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45828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45828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45828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45828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45828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45828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45828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45828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45828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45828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45828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45828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45828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45828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45828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45828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45828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45828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45828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45828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45828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45828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45828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45828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45828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45828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45828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45828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45828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45828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45828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45828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45828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45828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45828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45828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45828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45828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45828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45828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45828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45828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45828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45828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45828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45828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45828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45828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45828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45828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45828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45828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45828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45828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45828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45828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45828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45828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45828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45828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45828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45828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45828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45828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45828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45828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45828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45828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45828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45828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45828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45828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45828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45828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45828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45828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45828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45828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45828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45828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45828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45828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45828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45828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45828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45828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45828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45828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45828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45828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45828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45828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45828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45828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45828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45828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45828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45828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45828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45828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45828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45828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45828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45828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45828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45828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45828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45828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45828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45828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45828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45828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45828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45828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45828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45828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45828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45828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45828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45828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45828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45828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45828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45828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45828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45828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45828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45828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45828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45828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45828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45828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45828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45828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45828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45828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45828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45828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45828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45828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45828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45828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45828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45828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45828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45828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45828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45828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45828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45828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45828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45828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45828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45828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45828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45828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45828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45828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45828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45828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45828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45828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45828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45828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45828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45828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45828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45828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45828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45828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45828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45828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45828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45828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45828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45828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45828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45828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45828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45828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45828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45828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45828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45828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45828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45828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45828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45828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45828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45828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45828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45828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45828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45828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45828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45828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45828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45828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45828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45828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45828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45828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45828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45828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45828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45828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45828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45828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45828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45828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45828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45828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45828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45828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45828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45828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45828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45828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45828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45828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45828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45828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45828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45828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45828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45828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45828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45828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45828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45828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45828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45828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45828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45828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45828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45828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45828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45828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45828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45828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45828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45828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45828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45828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45828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45828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45828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45828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45828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45828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45828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45828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45828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45828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45828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45828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45828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45828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45828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45828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45828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45828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45828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45828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45828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45828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45828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45828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45828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45828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45828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45828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45828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45828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45828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45828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45828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45828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45828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45828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45828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45828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45828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45828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45828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45828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45828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45828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45828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45828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45828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45828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45828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45828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45828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45828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45828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45828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45828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45828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45828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45828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45828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45828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45828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45828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45828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45828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45828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45828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45828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45828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45828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45828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45828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45828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45828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45828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45828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45828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45828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45828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45828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45828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45828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45828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45828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45828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45828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45828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45828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45828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45828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45828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45828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45828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45828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45828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45828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45828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45828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45828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45828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45828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45828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45828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45828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45828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45828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45828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45828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45828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45828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45828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45828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45828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45828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45828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45828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45828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45828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45828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45828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45828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45828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45828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45828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45828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45828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45828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45828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45828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45828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45828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45828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45828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45828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45828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45828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45828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45828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45828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45828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45828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45828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45828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45828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45828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45828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45828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45828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45828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45828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45828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45828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45828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45828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45828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45828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45828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45828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45828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45828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45828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45828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45828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45828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45828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45828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45828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45828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45828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45828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45828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45828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45828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45828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45828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45828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45828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45828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45828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45828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45828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45828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45828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45828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45828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45828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45828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45828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45828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45828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45828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45828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45828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45828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45828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45828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45828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45828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45828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45828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45828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45828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45828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45828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45828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45828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45828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45828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45828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45828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45828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45828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45828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45828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45828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45828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45828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45828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45828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45828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45828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45828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45828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45828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45828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45828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45828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45828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45828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45828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45828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45828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45828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45828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45828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45828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45828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45828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45828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45828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45828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45828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45828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45828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45828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45828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45828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45828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45828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45828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45828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45828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45828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45828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45828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45828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45828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45828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45828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45828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45828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45828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45828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45828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45828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45828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45828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45828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45828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45828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45828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45828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45828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45828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45828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45828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45828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45828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45828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45828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45828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45828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45828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45828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45828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45828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45828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45828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45828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45828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45828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45828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45828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45828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45828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45828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45828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45828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45828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45828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45828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45828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45828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45828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45828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45828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45828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45828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45828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45828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45828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45828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45828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45828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45828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45828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45828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45828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45828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45828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45828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45828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45828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45828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45828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45828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45828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45828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45828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45828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45828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45828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45828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45828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45828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45828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45828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45828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45828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45828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45828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45828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45828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45828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45828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45828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45828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45828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45828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45828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45828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45828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45828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45828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45828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45828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45828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45828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45828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45828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45828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45828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45828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45828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45828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45828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45828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45828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45828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45828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45828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45828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45828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45828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45828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45828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45828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45828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45828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45828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45828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45828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45828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45828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45828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45828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45828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45828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45828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45828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45828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45828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45828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45828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45828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45828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45828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45828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45828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45828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45828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45828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45828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45828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45828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45828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45828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45828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45828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45828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45828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45828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45828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45828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45828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45828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45828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45828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45828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45828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45828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45828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45828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45828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45828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45828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45828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45828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45828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45828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45828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45828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45828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45828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45828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45828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45828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45828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45828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45828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45828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45828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45828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45828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45828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45828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45828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45828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45828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45828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45828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45828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45828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45828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45828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45828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45828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45828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45828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45828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45828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45828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45828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45828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45828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45828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45828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45828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45828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45828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45828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45828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45828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45828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45828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45828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45828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45828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45828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45828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45828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45828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45828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45828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45828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45828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45828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45828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45828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45828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45828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45828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45828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45828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45828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45828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45828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45828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45828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45828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45828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45828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45828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45828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45828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45828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45828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45828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45828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45828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45828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45828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45828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45828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45828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45828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45828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45828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45828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45828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45828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45828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45828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45828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45828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45828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45828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45828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45828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45828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45828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45828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45828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45828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45828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45828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45828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45828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45828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45828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45828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45828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45828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45828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45828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45828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45828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45828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45828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45828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45828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45828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45828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45828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45828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45828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45828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45828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45828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45828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45828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45828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45828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45828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45828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45828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45828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45828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45828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45828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45828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45828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45828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45828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45828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45828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45828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45828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45828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45828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45828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45828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45828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45828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45828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45828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45828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45828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45828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45828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45828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45828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45828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45828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45828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45828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45828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45828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45828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45828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45828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45828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45828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45828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45828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45828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45828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45828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45828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45828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45828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45828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45828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45828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45828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45828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45828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45828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45828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45828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45828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45828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45828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45828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45828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45828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45828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45828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45828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45828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45828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45828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45828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45828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45828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45828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45828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45828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45828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45828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45828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45828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45828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45828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45828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45828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45828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45828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45828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45828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45828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45828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45828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45828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45828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45828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45828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45828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45828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45828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45828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45828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45828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45828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45828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45828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45828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45828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45828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45828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45828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45828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45828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45828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45828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45828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45828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45828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45828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45828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45828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45828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45828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45828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45828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45828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45828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45828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45828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45828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45828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45828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45828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45828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45828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45828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45828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45828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45828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45828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45828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45828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45828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45828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45828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45828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45828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45828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45828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45828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45828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45828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45828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45828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45828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45828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45828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45828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45828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45828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45828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45828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45828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45828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45828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45828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45828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45828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45828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45828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45828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45828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45828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45828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45828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45828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45828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45828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45828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45828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45828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45828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45828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45828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45828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45828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45828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45828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45828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45828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45828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45828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45828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45828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45828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45828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45828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45828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45828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45828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45828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45828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45828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45828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45828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45828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45828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45828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45828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45828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45828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45828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45828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45828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45828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45828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45828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45828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45828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45828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45828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45828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45828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45828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45828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45828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45828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45828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45828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45828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45828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45828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45828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45828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45828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45828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45828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45828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45828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45828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45828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45828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45828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45828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45828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45828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45828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45828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45828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45828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45828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45828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45828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45828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45828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45828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45828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45828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45828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45828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45828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45828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45828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45828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45828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45828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45828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45828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45828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45828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45828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45828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45828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45828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45828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45828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45828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45828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45828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45828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45828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45828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45828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45828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45828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45828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45828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45828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45828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45828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45828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45828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45828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45828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45828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45828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45828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45828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45828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45828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45828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45828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45828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45828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45828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45828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45828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45828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45828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45828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45828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45828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45828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45828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45828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45828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45828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45828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45828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45828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45828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45828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45828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45828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45828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45828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45828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45828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45828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45828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45828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45828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45828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45828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45828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45828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45828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45828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45828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45828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45828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45828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45828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45828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45828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45828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45828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45828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45828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45828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45828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45828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45828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45828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45828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45828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45828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45828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45828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45828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45828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45828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45828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45828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45828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45828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45828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45828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45828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45828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45828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45828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45828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45828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45828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45828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45828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45828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45828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45828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45828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45828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45828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45828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45828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45828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45828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45828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45828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45828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45828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45828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45828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45828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45828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45828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45828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45828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45828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45828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45828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45828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45828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45828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45828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45828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45828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45828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45828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45828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45828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45828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45828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45828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45828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45828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45828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45828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45828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45828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45828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45828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45828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45828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45828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45828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45828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45828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45828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45828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45828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45828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45828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45828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45828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45828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45828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45828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45828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45828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45828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45828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45828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45828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45828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45828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45828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45828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45828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45828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45828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45828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45828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45828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45828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45828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45828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45828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45828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45828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45828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45828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45828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45828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45828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45828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45828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45828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45828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45828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45828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45828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45828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45828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45828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45828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45828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45828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45828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45828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45828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45828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45828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45828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45828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45828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45828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45828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45828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45828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45828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45828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45828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45828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45828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45828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45828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45828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45828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45828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45828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45828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45828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45828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45828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45828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45828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45828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45828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45828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45828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45828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45828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45828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45828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45828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45828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45828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45828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45828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45828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45828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45828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45828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45828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45828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45828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45828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45828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45828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45828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45828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45828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45828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45828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45828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45828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45828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45828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45828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45828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45828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45828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45828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45828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45828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45828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45828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45828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45828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45828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45828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45828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45828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45828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45828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45828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45828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45828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45828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45828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45828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45828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45828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45828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45828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45828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45828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45828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45828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45828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45828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45828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45828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45828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45828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45828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45828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45828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45828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45828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45828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45828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45828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45828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45828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45828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45828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45828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45828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45828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45828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45828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45828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45828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45828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45828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45828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45828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45828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45828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45828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45828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45828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45828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45828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45828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45828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45828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45828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45828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45828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45828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45828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45828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45828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45828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45828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45828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45828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45828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45828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45828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45828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45828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45828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45828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45828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45828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45828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45828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45828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45828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45828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45828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45828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45828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45828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45828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45828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45828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45828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45828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45828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45828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45828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45828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45828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45828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45828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45828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45828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45828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45828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45828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45828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45828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45828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45828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45828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45828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45828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45828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45828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45828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45828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45828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45828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45828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45828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45828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45828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45828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45828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45828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45828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45828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45828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45828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45828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45828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45828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45828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45828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45828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45828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45828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45828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45828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45828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45828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45828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45828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45828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45828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45828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45828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45828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45828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45828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45828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45828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45828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45828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45828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45828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45828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45828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45828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45828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45828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45828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45828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45828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45828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45828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45828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45828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45828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45828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45828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45828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45828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45828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45828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45828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45828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45828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45828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45828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45828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45828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45828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45828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45828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45828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45828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45828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45828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45828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45828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45828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45828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45828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45828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45828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45828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45828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45828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45828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45828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45828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45828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45828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45828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45828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45828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45828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45828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45828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45828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45828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45828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45828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45828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45828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45828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45828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45828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45828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45828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45828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45828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45828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45828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45828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45828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45828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45828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45828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45828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45828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45828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45828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45828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45828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45828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45828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45828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45828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45828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45828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45828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45828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45828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45828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45828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45828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45828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45828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45828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45828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45828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45828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45828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45828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45828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45828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45828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45828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45828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45828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45828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45828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45828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45828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45828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45828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45828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45828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45828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45828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45828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45828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45828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45828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45828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45828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45828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45828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45828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45828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45828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45828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45828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45828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45828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45828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45828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45828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45828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45828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45828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45828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45828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45828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45828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45828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45828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45828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45828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45828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45828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45828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45828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45828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45828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45828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45828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45828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45828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45828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45828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45828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45828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45828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45828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45828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45828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45828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45828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45828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45828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45828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45828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45828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45828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45828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45828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45828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45828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45828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45828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45828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45828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45828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45828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45828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45828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45828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45828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45828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45828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45828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45828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45828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45828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45828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45828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45828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45828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45828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45828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45828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45828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45828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45828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45828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45828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45828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45828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45828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45828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45828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45828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45828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45828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45828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45828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45828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45828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45828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45828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45828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45828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45828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45828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45828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45828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45828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45828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45828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45828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45828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45828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45828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45828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45828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45828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45828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45828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45828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45828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45828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45828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45828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45828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45828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45828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45828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45828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45828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45828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45828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45828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45828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45828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45828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45828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45828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45828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45828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45828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45828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45828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45828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45828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45828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45828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45828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45828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45828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45828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45828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45828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45828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45828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45828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45828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45828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45828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45828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45828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45828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45828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45828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45828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45828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45828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45828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45828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45828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45828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45828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45828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45828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45828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45828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45828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45828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45828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45828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45828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45828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45828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45828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45828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45828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45828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45828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45828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45828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45828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45828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45828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45828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45828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45828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45828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45828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45828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45828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45828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45828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45828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45828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45828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45828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45828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45828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45828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45828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45828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45828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45828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45828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45828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45828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45828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45828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45828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45828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45828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45828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45828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45828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45828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45828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45828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45828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45828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45828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45828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45828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45828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45828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45828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45828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45828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45828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45828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45828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45828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45828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45828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45828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45828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45828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45828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45828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45828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45828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45828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45828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45828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45828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45828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45828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45828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45828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45828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45828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45828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45828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45828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45828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45828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45828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45828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45828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45828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45828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45828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45828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45828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45828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45828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45828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45828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45828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45828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45828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45828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45828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45828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45828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45828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45828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45828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45828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45828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45828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45828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45828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45828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45828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45828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45828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45828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45828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45828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45828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45828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45828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45828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45828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45828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45828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45828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45828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45828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45828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45828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45828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45828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45828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45828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45828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45828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45828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45828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45828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45828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45828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45828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45828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45828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45828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45828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45828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45828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45828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45828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45828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45828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45828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45828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45828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45828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45828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45828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45828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45828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45828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45828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45828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45828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45828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45828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45828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45828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45828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45828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45828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45828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45828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45828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45828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45828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45828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45828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45828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45828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45828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45828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45828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45828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45828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45828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45828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45828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45828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45828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45828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45828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45828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45828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45828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45828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45828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45828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45828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45828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45828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45828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45828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45828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45828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45828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45828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45828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45828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45828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45828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45828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45828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45828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45828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45828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45828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45828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45828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45828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45828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45828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45828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45828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45828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45828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45828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45828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45828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45828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45828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45828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45828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45828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45828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45828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45828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45828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45828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45828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45828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45828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45828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45828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45828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45828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45828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45828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45828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45828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45828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45828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45828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45828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45828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45828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45828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45828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45828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45828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45828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45828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45828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45828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45828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45828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45828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45828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45828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45828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45828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45828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45828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45828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45828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45828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45828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45828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45828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45828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45828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45828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45828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45828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45828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45828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45828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45828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45828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45828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45828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45828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45828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45828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45828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45828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45828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45828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45828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45828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45828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45828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45828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45828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45828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45828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45828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45828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45828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45828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45828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45828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45828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45828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45828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45828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45828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45828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45828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45828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45828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45828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45828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45828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45828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45828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45828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45828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45828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45828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45828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45828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45828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45828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45828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45828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45828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45828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45828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45828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45828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45828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45828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45828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45828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45828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45828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45828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45828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45828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45828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45828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45828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45828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45828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45828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45828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45828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45828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45828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45828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45828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45828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45828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45828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45828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45828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45828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45828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45828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45828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45828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45828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45828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45828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45828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45828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45828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45828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45828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45828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45828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45828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45828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45828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45828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45828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45828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45828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45828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45828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45828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45828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45828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45828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45828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45828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45828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45828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45828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45828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45828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45828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45828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45828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45828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45828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45828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45828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45828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45828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45828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45828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45828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45828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45828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45828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45828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45828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45828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45828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45828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45828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45828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45828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45828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45828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45828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45828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45828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45828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45828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45828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45828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45828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45828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45828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45828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45828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45828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45828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45828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45828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45828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45828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45828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45828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45828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45828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45828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45828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45828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45828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45828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45828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45828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45828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45828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45828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45828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45828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45828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45828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45828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45828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45828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45828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45828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45828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45828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45828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45828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45828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45828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45828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45828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45828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45828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45828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45828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45828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45828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45828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45828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45828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45828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45828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45828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45828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45828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45828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45828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45828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45828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45828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45828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45828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45828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45828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45828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45828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45828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45828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45828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45828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45828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45828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45828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45828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45828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45828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45828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45828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45828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45828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45828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45828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45828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45828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45828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45828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45828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45828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45828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45828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45828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45828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45828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45828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45828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45828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45828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45828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45828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45828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45828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45828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45828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45828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45828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45828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45828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45828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45828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45828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45828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45828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45828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45828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45828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45828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45828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45828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45828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45828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45828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45828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45828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45828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45828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45828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45828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45828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45828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45828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45828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45828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45828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45828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45828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45828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45828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45828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45828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45828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45828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45828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45828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45828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45828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45828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45828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45828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45828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45828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45828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45828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45828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45828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45828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45828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45828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45828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45828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45828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45828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45828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45828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45828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45828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45828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45828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45828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45828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45828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45828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45828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45828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45828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45828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45828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45828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45828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45828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45828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45828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45828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45828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45828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45828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45828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45828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45828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45828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45828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45828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45828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45828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45828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45828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45828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45828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45828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45828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45828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45828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45828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45828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45828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45828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45828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45828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45828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45828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45828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45828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45828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45828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45828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45828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45828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45828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45828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45828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45828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45828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45828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45828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45828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45828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45828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45828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45828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45828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45828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45828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45828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45828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45828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45828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45828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45828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45828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45828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45828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45828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45828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45828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45828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45828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45828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45828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45828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45828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45828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45828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45828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45828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45828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45828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45828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45828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45828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45828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45828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45828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45828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45828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45828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45828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45828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45828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45828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45828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45828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45828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45828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45828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45828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45828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45828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45828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45828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45828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45828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45828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45828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45828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45828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45828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45828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45828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45828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45828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45828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45828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45828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45828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45828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45828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45828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45828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45828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45828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45828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45828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45828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45828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45828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45828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45828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45828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45828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45828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45828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45828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45828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45828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45828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45828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45828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45828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45828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45828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45828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45828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45828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45828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45828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45828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45828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45828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45828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45828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45828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45828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45828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45828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45828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45828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45828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45828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45828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45828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45828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45828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45828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45828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45828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45828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45828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45828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45828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45828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45828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45828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45828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45828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45828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45828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45828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45828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45828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45828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45828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45828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45828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45828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45828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45828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45828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45828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45828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45828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45828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45828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45828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45828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45828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45828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45828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45828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45828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45828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45828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45828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45828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45828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45828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45828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45828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45828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45828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45828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45828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45828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45828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45828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45828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45828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45828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45828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45828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45828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45828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45828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45828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45828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45828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45828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45828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45828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45828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45828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45828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45828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45828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45828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45828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45828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45828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45828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45828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45828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45828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45828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45828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45828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45828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45828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45828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45828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45828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45828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45828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45828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45828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45828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45828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45828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45828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45828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45828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45828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45828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45828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45828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45828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45828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45828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45828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45828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45828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45828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45828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45828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45828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45828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45828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45828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45828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45828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45828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45828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45828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45828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45828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45828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45828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45828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45828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45828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45828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45828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45828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45828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45828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45828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45828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45828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45828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45828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45828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45828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45828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45828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45828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45828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45828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45828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45828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45828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45828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45828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45828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45828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45828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45828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45828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45828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45828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45828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45828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45828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45828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45828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45828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45828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45828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45828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45828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45828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45828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45828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45828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45828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45828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45828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45828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45828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45828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45828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45828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45828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45828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45828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45828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45828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45828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45828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45828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45828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45828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45828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45828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45828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45828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45828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45828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45828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45828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45828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45828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45828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45828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45828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45828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45828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45828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45828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45828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45828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45828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45828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45828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45828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45828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45828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45828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45828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45828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45828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45828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45828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45828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45828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45828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45828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45828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45828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45828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45828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45828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45828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45828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45828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45828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45828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45828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45828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45828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45828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45828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45828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45828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45828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45828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45828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45828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45828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45828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45828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45828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45828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45828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45828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45828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45828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45828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45828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45828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45828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45828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45828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45828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45828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45828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45828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45828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45828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45828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45828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45828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45828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45828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45828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45828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45828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45828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45828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45828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45828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45828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45828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45828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45828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45828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45828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45828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45828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45828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45828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45828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45828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45828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45828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45828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45828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45828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45828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45828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45828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45828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45828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45828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45828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45828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45828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45828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45828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45828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45828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45828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45828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45828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45828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45828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45828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45828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45828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45828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45828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45828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45828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45828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45828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45828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45828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45828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45828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45828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45828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45828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45828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45828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45828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45828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45828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45828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45828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45828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45828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45828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45828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45828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45828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45828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45828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45828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45828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45828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45828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45828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45828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45828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45828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45828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45828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45828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45828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45828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45828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45828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45828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45828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45828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45828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45828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45828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45828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45828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45828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45828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45828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45828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45828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45828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45828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45828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45828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45828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45828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45828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45828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45828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45828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45828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45828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45828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45828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45828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45828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45828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45828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45828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45828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45828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45828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45828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45828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45828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45828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45828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45828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45828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45828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45828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45828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45828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45828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45828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45828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45828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45828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45828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45828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45828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45828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45828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45828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45828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45828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45828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45828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45828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45828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45828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45828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45828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45828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45828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45828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45828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45828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45828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45828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45828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45828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45828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45828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45828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45828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45828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45828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45828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45828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45828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45828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45828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45828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45828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45828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45828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45828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45828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45828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45828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45828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45828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45828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45828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45828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45828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45828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45828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45828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45828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45828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45828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45828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45828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45828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45828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45828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45828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45828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45828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45828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45828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45828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45828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45828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45828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45828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45828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45828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45828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45828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45828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45828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45828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45828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45828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45828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45828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45828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45828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45828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45828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45828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45828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45828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45828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45828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45828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45828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45828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45828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45828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45828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45828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45828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45828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45828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45828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45828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45828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45828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45828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45828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45828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45828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45828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45828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45828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45828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45828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45828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45828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45828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45828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45828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45828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45828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45828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45828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45828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45828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45828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45828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45828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45828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45828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45828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45828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45828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45828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45828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45828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45828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45828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45828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45828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45828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45828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45828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45828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45828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45828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45828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45828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45828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45828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45828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45828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45828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45828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45828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45828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45828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45828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45828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45828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45828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45828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45828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45828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45828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45828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45828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45828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45828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45828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45828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45828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45828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45828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45828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45828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45828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45828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45828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45828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45828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45828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45828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45828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45828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45828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45828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45828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45828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45828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45828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45828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45828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45828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45828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45828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45828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45828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45828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45828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45828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45828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45828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45828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45828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45828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45828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45828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45828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45828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45828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45828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45828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45828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45828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45828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45828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45828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45828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45828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45828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45828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45828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45828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45828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45828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45828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45828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45828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45828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45828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45828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45828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45828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45828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45828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45828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45828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45828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45828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45828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45828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45828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45828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45828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45828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45828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45828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45828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45828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45828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45828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45828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45828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45828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45828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45828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45828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45828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45828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45828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45828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45828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45828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45828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45828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45828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45828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45828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45828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45828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45828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45828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45828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45828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45828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45828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45828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45828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45828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45828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45828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45828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45828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45828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45828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45828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45828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45828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45828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45828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45828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45828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45828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45828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45828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45828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45828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45828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45828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45828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45828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45828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45828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45828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45828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45828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45828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45828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45828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45828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45828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45828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45828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45828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45828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45828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45828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45828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45828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45828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45828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45828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45828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45828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45828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45828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45828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45828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45828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45828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45828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45828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45828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45828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45828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45828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45828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45828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45828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45828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45828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45828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45828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45828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45828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45828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45828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45828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45828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45828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45828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45828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45828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45828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45828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45828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45828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45828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45828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45828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45828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45828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45828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45828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45828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45828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45828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45828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45828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45828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45828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45828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45828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45828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45828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45828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45828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45828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45828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45828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45828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45828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45828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45828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45828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45828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45828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45828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45828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45828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45828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45828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45828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45828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45828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45828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45828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45828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45828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45828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45828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45828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45828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45828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45828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45828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45828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45828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45828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45828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45828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45828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45828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45828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45828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45828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45828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45828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45828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45828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45828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45828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45828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45828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45828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45828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45828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45828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45828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45828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45828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45828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45828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45828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45828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45828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45828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45828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45828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45828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45828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45828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45828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45828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45828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45828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45828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45828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45828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45828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45828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45828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45828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45828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45828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45828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45828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45828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45828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45828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45828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45828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45828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45828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45828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45828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45828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45828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45828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45828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45828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45828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45828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45828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45828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45828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45828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45828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45828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45828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45828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45828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45828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45828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45828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45828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45828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45828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45828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45828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45828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45828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45828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45828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45828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45828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45828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45828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45828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45828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45828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45828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45828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45828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45828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45828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45828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45828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45828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45828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45828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45828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45828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45828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45828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45828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45828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45828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45828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45828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45828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45828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45828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45828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45828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45828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45828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45828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45828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45828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45828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45828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45828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45828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45828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45828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45828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45828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45828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45828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45828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45828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45828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45828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45828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45828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45828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45828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45828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45828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45828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45828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45828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45828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45828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45828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45828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45828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45828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45828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45828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45828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45828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45828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45828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45828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45828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45828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45828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45828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45828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45828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45828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45828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45828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45828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45828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45828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45828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45828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45828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45828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45828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45828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45828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45828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45828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45828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45828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45828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45828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45828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45828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45828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45828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45828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45828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45828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45828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45828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45828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45828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45828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45828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45828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45828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45828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45828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45828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45828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45828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45828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45828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45828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45828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45828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45828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45828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45828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45828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45828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45828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45828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45828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45828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45828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45828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45828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45828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45828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45828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45828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45828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45828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45828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45828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45828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45828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45828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45828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45828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45828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45828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45828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45828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45828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45828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45828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45828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45828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45828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45828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45828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45828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45828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45828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45828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45828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45828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45828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45828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45828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45828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45828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45828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45828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45828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45828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45828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45828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45828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45828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45828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45828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45828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45828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45828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45828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45828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45828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45828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45828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45828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45828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45828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45828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45828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45828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45828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45828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45828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45828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45828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45828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45828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45828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45828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45828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45828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45828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45828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45828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45828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45828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45828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45828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45828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45828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45828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45828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45828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45828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45828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45828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45828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45828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45828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45828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45828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45828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45828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45828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45828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45828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45828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45828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45828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45828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45828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45828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45828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45828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45828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45828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45828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45828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45828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45828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45828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45828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45828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45828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45828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45828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45828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45828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45828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45828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45828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45828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45828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45828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45828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45828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45828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45828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45828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45828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45828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45828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45828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45828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45828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45828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45828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45828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45828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45828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45828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45828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45828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45828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45828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45828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45828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45828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45828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45828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45828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45828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45828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45828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45828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45828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45828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45828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45828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45828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45828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45828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45828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45828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45828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45828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45828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45828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45828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45828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45828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45828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45828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45828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45828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45828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45828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45828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45828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45828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45828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45828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45828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45828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45828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45828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45828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45828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45828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45828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45828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45828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45828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45828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45828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45828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45828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45828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45828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45828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45828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45828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45828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45828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45828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45828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45828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45828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45828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45828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45828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45828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45828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45828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45828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45828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45828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45828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45828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45828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45828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45828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45828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45828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45828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45828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45828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45828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45828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45828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45828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45828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45828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45828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45828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45828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45828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45828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45828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45828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45828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45828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45828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45828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45828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45828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45828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45828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45828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45828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45828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45828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45828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45828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45828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45828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45828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45828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45828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45828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45828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45828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45828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45828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45828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45828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45828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45828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45828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45828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45828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45828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45828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45828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45828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45828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45828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45828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45828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45828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45828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45828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45828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45828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45828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45828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45828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45828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45828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45828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45828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45828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45828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45828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45828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45828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45828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45828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45828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45828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45828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45828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45828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45828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45828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45828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45828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45828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45828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45828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45828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45828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45828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45828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45828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45828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45828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45828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45828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45828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45828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45828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45828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45828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45828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45828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45828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45828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45828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45828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45828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45828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45828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45828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45828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45828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45828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45828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45828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45828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45828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45828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45828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45828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45828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45828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45828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45828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45828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45828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45828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45828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45828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45828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45828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45828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45828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45828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45828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45828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45828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45828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45828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45828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45828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45828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45828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45828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45828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45828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45828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45828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45828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45828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45828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45828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45828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45828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45828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45828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45828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45828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45828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45828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45828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45828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45828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45828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45828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45828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45828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45828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45828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45828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45828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45828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45828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45828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45828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45828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45828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45828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45828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45828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45828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45828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45828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45828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45828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45828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45828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45828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45828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45828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45828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45828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45828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45828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45828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45828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45828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45828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45828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45828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45828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45828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45828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45828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45828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45828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45828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45828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45828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45828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45828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45828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45828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45828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45828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45828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45828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45828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45828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45828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45828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45828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45828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45828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45828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45828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45828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45828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45828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45828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45828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45828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45828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45828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45828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45828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45828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45828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45828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45828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45828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45828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45828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45828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45828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45828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45828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45828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45828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45828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45828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45828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45828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45828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45828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45828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45828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45828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45828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45828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45828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45828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45828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45828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45828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45828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45828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45828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45828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45828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45828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45828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45828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45828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45828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45828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45828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45828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45828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45828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45828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45828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45828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45828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45828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45828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45828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45828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45828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45828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45828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45828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45828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45828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45828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45828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45828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45828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45828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45828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45828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45828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45828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45828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45828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45828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45828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45828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45828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45828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45828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45828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45828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45828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45828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45828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45828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45828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45828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45828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45828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45828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45828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45828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45828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45828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45828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45828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45828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45828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45828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45828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45828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45828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45828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45828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45828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45828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45828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45828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45828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45828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45828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45828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45828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45828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45828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45828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45828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45828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45828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45828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45828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45828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45828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45828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45828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45828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45828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45828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45828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45828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45828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45828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45828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45828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45828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45828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45828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45828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45828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45828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45828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45828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45828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45828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45828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45828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45828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45828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45828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45828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45828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45828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45828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45828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45828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45828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45828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45828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45828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45828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45828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45828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45828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45828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45828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45828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45828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45828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45828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45828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45828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45828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45828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45828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45828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45828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45828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45828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45828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45828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45828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45828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45828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45828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45828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45828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45828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45828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45828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45828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45828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45828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45828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45828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45828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45828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45828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45828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45828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45828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45828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45828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45828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45828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45828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45828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45828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45828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45828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45828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45828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45828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45828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45828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45828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45828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45828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45828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45828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45828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45828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45828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45828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45828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45828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45828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45828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45828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45828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45828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45828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45828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45828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45828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45828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45828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45828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45828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45828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45828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45828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45828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45828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45828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45828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45828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45828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45828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45828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45828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45828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45828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45828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45828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45828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45828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45828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45828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45828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45828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45828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45828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45828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45828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45828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45828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45828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45828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45828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45828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45828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45828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45828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45828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45828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45828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45828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45828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45828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45828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45828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45828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45828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45828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45828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45828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45828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45828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45828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45828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45828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45828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45828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45828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45828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45828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45828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45828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45828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45828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45828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45828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45828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45828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45828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45828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45828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45828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45828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45828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45828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45828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45828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45828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45828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45828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45828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45828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45828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45828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45828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45828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45828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45828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45828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45828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45828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45828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45828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45828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45828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45828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45828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45828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45828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45828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45828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45828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45828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45828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45828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45828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45828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45828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45828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45828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45828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45828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45828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45828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45828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45828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45828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45828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45828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45828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45828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45828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45828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45828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45828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45828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45828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45828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45828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45828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45828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45828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45828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45828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45828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45828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45828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45828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45828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45828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45828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45828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45828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45828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45828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45828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45828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45828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45828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45828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45828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45828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45828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45828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45828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45828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45828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45828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45828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45828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45828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45828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45828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45828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45828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45828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45828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45828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45828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45828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45828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45828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45828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45828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45828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45828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45828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45828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45828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45828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45828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45828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45828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45828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45828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45828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45828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45828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45828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45828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45828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45828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45828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45828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45828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45828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45828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45828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45828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45828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45828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45828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45828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45828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45828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45828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45828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45828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45828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45828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45828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45828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45828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45828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45828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45828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45828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45828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45828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45828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45828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45828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45828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45828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45828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45828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45828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45828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45828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45828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45828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45828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45828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45828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45828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45828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45828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45828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45828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45828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45828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45828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45828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45828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45828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45828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45828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45828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45828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45828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45828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45828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45828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45828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45828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45828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45828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45828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45828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45828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45828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45828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45828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45828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45828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45828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45828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45828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45828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45828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45828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45828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45828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45828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45828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45828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45828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45828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45828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45828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45828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45828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45828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45828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45828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45828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45828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45828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45828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45828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45828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45828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45828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45828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45828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45828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45828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45828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45828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45828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45828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45828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45828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45828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45828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45828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45828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45828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45828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45828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45828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45828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45828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45828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45828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45828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45828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45828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45828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45828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45828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45828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45828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45828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45828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45828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45828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45828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45828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45828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45828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45828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45828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45828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45828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45828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45828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45828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45828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45828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45828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45828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45828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45828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45828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45828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45828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45828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45828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45828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45828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45828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45828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45828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45828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45828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45828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45828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45828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45828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45828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45828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45828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45828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45828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45828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45828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45828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45828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45828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45828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45828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45828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45828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45828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45828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45828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45828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45828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45828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45828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45828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45828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45828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45828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45828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45828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45828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45828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45828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45828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45828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45828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45828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45828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45828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45828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45828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45828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45828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45828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45828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45828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45828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45828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45828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45828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45828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45828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45828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45828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45828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45828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45828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45828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45828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45828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45828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45828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45828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45828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45828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45828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45828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45828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45828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45828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45828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45828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45828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45828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45828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45828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45828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45828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45828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45828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45828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45828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45828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45828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45828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45828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45828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45828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45828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45828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45828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45828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45828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45828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45828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45828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45828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45828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45828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45828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45828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45828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45828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45828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45828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45828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45828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45828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45828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45828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45828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45828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45828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45828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45828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45828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45828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45828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45828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45828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45828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45828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45828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45828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45828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45828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45828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45828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45828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45828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45828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45828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45828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45828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45828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45828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45828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45828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45828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45828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45828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45828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45828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45828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45828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45828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45828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45828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45828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45828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45828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45828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45828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45828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45828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45828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45828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45828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45828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45828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45828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45828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45828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45828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45828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45828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45828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45828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45828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45828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45828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45828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45828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45828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45828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45828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45828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45828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45828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45828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45828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45828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45828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45828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45828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45828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45828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45828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45828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45828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45828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45828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45828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45828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45828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45828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45828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45828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45828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45828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45828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45828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45828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45828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45828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45828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45828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45828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45828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45828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45828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45828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45828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45828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45828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45828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45828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45828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45828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45828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45828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45828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45828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45828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45828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45828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45828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45828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45828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45828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45828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45828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45828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45828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45828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45828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45828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45828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45828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45828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45828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45828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45828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45828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45828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45828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45828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45828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45828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45828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45828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45828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45828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45828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45828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45828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45828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45828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45828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45828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45828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45828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45828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45828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45828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45828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45828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45828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45828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45828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45828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45828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45828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45828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45828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45828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45828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45828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45828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45828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45828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45828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45828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45828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45828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45828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45828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45828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45828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45828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45828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45828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45828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45828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45828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45828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45828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45828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45828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45828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45828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45828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45828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45828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45828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45828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45828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45828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45828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45828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45828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45828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45828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45828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45828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45828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45828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45828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45828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45828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45828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45828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45828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45828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45828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45828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45828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45828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45828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45828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45828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45828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45828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45828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45828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45828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45828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45828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45828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45828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45828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45828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45828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45828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45828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45828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45828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45828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45828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45828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45828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45828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45828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45828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45828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45828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45828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45828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45828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45828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45828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45828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45828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45828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45828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45828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45828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45828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45828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45828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45828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45828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45828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45828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45828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45828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45828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45828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45828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45828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45828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45828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45828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45828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45828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45828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45828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45828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45828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45828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45828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45828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45828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45828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45828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45828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45828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45828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45828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45828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45828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45828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45828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45828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45828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45828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45828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45828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45828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45828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45828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45828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45828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45828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45828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45828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45828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45828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45828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45828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45828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45828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45828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45828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45828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45828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45828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45828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45828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45828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45828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45828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45828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45828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45828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45828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45828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45828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45828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45828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45828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45828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45828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45828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45828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45828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45828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45828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45828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45828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45828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45828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45828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45828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45828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45828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45828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45828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45828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45828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45828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45828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45828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45828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45828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45828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45828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45828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45828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45828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45828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45828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45828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45828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45828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45828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45828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45828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45828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45828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45828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45828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45828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45828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45828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45828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45828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45828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45828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45828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45828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45828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45828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45828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45828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45828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45828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45828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45828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45828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45828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45828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45828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45828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45828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45828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45828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45828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45828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45828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45828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45828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45828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45828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45828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45828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45828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45828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45828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45828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45828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45828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45828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45828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45828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45828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45828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45828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45828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45828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45828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45828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45828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45828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45828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45828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45828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45828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45828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45828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45828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45828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45828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45828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45828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45828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45828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45828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45828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45828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45828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45828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45828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45828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45828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45828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45828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45828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45828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45828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45828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45828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45828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45828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45828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45828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45828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45828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45828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45828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45828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45828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45828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45828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45828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45828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45828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45828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45828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45828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45828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45828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45828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45828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45828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45828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45828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45828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45828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45828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45828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45828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45828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45828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45828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45828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45828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45828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45828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45828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45828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45828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45828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45828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45828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45828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45828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45828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45828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45828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45828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45828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45828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45828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45828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45828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45828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45828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45828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45828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45828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45828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45828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45828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45828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45828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45828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45828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45828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45828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45828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45828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45828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45828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45828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45828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45828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45828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45828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45828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45828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45828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45828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45828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45828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45828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45828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45828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45828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45828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45828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45828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45828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45828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45828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45828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45828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45828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45828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45828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45828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45828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45828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45828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45828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45828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45828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45828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45828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45828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45828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45828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45828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45828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45828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45828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45828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45828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45828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45828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45828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45828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45828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45828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45828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45828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45828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45828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45828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45828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45828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45828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45828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45828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45828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45828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45828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45828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45828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45828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45828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45828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45828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45828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45828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45828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45828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45828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45828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45828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45828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45828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45828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45828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45828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45828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45828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45828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45828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45828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45828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45828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45828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45828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45828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45828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45828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45828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45828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45828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45828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45828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45828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45828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45828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45828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45828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45828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45828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45828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45828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45828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45828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45828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45828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45828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45828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45828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45828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45828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45828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45828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45828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45828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45828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45828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45828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45828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45828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45828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45828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45828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45828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45828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45828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45828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45828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45828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45828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45828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45828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45828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45828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45828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45828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45828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45828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45828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45828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45828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45828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45828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45828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45828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45828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45828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45828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45828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45828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45828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45828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45828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45828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45828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45828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45828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45828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45828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45828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45828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45828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45828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45828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45828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45828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45828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45828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45828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45828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45828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45828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45828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45828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45828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45828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45828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45828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45828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45828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45828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45828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45828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45828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45828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45828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45828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45828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45828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45828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45828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45828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45828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45828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45828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45828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45828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45828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45828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45828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45828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45828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45828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45828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45828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45828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45828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45828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45828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45828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45828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45828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45828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45828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45828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45828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45828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45828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45828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45828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45828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45828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45828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45828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45828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45828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45828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45828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45828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45828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45828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45828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45828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45828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45828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45828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45828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45828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45828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45828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45828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45828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45828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45828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45828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45828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45828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45828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45828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45828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45828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45828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45828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45828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45828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45828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45828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45828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45828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45828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45828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45828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45828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45828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45828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45828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45828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45828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45828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45828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45828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45828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45828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45828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45828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45828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45828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45828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45828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45828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45828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45828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45828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45828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45828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45828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45828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45828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45828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45828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45828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45828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45828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45828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45828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45828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45828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45828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45828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45828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45828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45828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45828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45828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45828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45828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45828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45828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45828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45828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45828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45828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45828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45828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45828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45828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45828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45828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45828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45828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45828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45828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45828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45828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45828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45828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45828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45828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45828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45828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45828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45828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45828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45828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45828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45828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45828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45828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45828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45828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45828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45828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45828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45828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45828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45828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45828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45828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45828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45828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45828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45828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45828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45828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45828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45828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45828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45828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45828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45828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45828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45828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45828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45828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45828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45828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45828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45828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45828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45828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45828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45828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45828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45828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45828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45828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45828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45828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45828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45828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45828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45828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45828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45828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45828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45828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45828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45828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45828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45828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45828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45828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45828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45828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45828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45828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45828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45828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45828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45828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45828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45828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45828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45828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45828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45828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45828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45828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45828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45828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45828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45828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45828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45828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45828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45828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45828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45828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45828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45828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45828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45828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45828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45828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45828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45828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45828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45828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45828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45828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45828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45828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45828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45828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45828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45828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45828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45828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45828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45828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45828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45828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45828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45828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45828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45828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45828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45828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45828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45828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45828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45828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45828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45828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45828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45828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45828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45828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45828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45828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45828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45828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45828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45828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45828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45828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45828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45828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45828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45828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45828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45828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45828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45828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45828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45828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45828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45828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45828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45828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45828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45828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45828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45828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45828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45828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45828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45828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45828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45828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45828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45828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45828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45828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45828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45828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45828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45828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45828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45828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45828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45828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45828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45828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45828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45828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45828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45828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45828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45828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45828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45828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45828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45828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45828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45828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45828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45828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45828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45828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45828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45828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45828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45828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45828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45828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45828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45828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45828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45828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45828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45828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45828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45828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45828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45828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45828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45828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45828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45828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45828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45828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45828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45828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45828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45828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45828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45828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45828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45828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45828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45828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45828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45828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45828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45828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45828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45828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45828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45828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45828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45828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45828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45828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45828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45828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45828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45828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45828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45828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45828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45828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45828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45828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45828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45828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45828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45828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45828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45828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45828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45828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45828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45828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45828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45828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45828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45828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45828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45828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45828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45828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45828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45828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45828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45828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45828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45828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45828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45828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45828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45828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45828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45828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45828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45828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45828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45828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45828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45828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45828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45828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45828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45828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45828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45828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45828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45828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45828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45828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45828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45828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45828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45828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45828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45828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45828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45828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45828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45828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45828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45828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45828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45828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45828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45828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45828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45828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45828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45828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45828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45828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45828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45828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45828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45828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45828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45828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45828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45828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45828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45828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45828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45828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45828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45828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45828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45828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45828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45828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45828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45828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45828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45828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45828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45828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45828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45828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45828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45828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45828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45828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45828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45828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45828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45828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45828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45828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45828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45828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45828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45828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45828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45828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45828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45828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45828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45828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45828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45828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45828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45828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45828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45828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45828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45828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45828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45828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45828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45828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45828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45828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45828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45828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45828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45828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45828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45828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45828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45828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45828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45828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45828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45828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45828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45828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45828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45828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45828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45828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45828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45828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45828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45828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45828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45828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45828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45828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45828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45828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45828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45828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45828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45828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45828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45828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45828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45828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45828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45828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45828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45828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45828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45828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45828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45828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45828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45828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45828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45828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45828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45828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45828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45828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45828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45828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45828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45828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45828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45828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45828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45828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45828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45828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45828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45828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45828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45828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45828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45828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45828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45828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45828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45828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45828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45828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45828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45828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45828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45828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45828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45828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45828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45828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45828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45828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45828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45828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45828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45828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45828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45828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45828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45828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45828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45828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45828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45828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45828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45828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45828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45828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45828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45828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45828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45828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45828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45828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45828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45828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45828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45828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45828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45828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45828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45828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45828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45828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45828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45828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45828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45828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45828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45828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45828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45828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45828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45828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45828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45828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45828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45828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45828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45828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45828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45828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45828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45828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45828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45828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45828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45828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45828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45828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45828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45828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45828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45828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45828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45828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45828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45828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45828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45828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45828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45828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45828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45828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45828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45828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45828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45828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45828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45828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45828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45828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45828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45828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45828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45828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45828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45828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45828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45828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45828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45828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45828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45828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45828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45828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45828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45828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45828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45828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45828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45828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45828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45828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45828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45828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45828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45828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45828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45828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45828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45828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45828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45828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45828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45828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45828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45828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45828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45828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45828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45828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45828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45828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45828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45828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45828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45828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45828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45828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45828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45828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45828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45828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45828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45828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45828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45828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45828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45828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45828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45828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45828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45828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45828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45828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45828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45828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45828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45828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45828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45828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45828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45828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45828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45828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45828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45828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45828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45828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45828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45828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45828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45828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45828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45828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45828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45828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45828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45828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45828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45828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45828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45828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45828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45828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45828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45828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45828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45828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45828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45828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45828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45828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45828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45828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45828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45828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45828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45828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45828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45828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45828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45828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45828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45828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45828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45828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45828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45828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45828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45828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45828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45828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45828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45828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45828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45828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45828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45828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45828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45828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45828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45828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45828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45828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45828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45828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45828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45828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45828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45828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45828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45828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45828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45828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45828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45828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45828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45828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45828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45828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45828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45828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45828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45828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45828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45828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45828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45828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45828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45828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45828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45828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45828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45828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45828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45828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45828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45828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45828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45828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45828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45828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45828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45828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45828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45828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45828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45828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45828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45828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45828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45828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45828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45828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45828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45828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45828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45828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45828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45828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45828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45828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45828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45828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45828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45828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45828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45828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45828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45828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45828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45828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45828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45828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45828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45828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45828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45828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45828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45828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45828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45828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45828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45828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45828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45828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45828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45828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45828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45828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45828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45828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45828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45828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45828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45828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45828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45828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45828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45828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45828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45828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45828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45828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45828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45828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45828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45828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45828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45828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45828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45828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45828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45828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45828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45828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45828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45828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45828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45828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45828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45828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45828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45828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45828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45828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45828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45828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45828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45828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45828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45828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45828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45828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45828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45828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45828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45828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45828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45828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45828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45828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45828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45828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45828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45828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45828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45828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45828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45828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45828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45828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45828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45828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45828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45828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45828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45828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45828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45828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45828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45828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45828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45828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45828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45828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45828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45828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45828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45828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45828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45828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45828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45828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45828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45828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45828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45828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45828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45828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45828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45828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45828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45828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45828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45828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45828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45828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45828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45828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45828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45828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45828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45828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45828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45828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45828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45828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45828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45828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45828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45828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45828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45828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45828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45828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45828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45828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45828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45828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45828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45828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45828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45828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45828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45828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45828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45828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45828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45828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45828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45828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45828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45828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45828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45828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45828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45828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45828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45828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45828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45828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45828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45828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45828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45828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45828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45828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45828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45828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45828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45828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45828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45828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45828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45828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45828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45828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45828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45828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45828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45828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45828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45828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45828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45828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45828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45828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45828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45828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45828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45828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45828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45828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45828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45828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45828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45828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45828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45828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45828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45828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45828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45828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45828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45828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45828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45828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45828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45828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45828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45828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45828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45828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45828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45828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45828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45828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45828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45828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45828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45828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45828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45828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45828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45828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45828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45828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45828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45828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45828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45828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45828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45828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45828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45828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45828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45828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45828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45828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45828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45828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45828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45828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45828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45828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45828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45828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45828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45828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45828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45828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45828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45828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45828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45828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45828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45828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45828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45828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45828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45828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45828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45828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45828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45828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45828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45828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45828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45828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45828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45828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45828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45828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45828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45828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45828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45828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45828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45828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45828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45828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45828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45828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45828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45828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45828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45828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45828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45828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45828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45828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45828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45828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45828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45828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45828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45828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45828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45828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45828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45828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45828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45828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45828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45828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45828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45828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45828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45828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45828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45828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45828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45828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45828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45828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45828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45828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45828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45828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45828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45828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45828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45828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45828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45828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45828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45828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45828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45828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45828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45828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45828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45828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45828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45828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45828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45828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45828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45828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45828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45828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45828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45828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45828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45828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45828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45828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45828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45828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45828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45828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45828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45828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45828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45828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45828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45828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45828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45828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45828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45828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45828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45828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45828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45828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45828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45828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45828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45828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45828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45828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45828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45828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45828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45828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45828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45828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45828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45828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45828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45828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45828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45828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45828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45828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45828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45828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45828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45828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45828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45828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45828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45828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45828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45828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45828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45828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45828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45828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45828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45828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45828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45828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45828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45828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45828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45828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45828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45828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45828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45828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45828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45828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45828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45828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45828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45828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45828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45828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45828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45828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45828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45828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45828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45828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45828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45828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45828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45828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45828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45828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45828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45828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45828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45828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45828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45828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45828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45828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45828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45828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45828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45828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45828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45828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45828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45828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45828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45828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45828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45828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45828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45828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45828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45828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45828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45828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45828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45828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45828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45828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45828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45828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45828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45828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45828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45828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45828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45828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45828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45828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45828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45828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45828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45828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45828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45828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45828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45828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45828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45828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45828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45828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45828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45828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45828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45828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45828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45828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45828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45828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45828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45828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45828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45828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45828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45828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45828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45828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45828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45828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45828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45828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45828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45828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45828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45828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45828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45828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45828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45828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45828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45828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45828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45828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45828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45828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45828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45828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45828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45828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45828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45828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45828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45828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45828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45828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45828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45828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45828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45828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45828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45828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45828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45828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45828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45828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45828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45828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45828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45828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45828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45828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45828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45828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45828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45828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45828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45828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45828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45828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45828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45828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45828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45828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45828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45828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45828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45828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45828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45828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45828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45828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45828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45828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45828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45828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45828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45828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45828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45828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45828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45828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45828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45828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45828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45828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45828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45828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45828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45828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45828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45828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45828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45828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45828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45828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45828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45828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45828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45828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45828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45828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45828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45828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45828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45828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45828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45828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45828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45828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45828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45828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45828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45828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45828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45828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45828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45828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45828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45828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45828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45828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45828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45828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45828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45828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45828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45828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45828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45828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45828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45828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45828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45828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45828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45828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45828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45828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45828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45828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45828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45828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45828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45828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45828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45828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45828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45828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45828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45828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45828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45828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45828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45828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45828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45828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45828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45828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45828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45828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45828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45828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45828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45828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45828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45828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45828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45828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45828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45828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45828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45828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45828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45828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45828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45828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45828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45828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45828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45828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45828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45828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45828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45828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45828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45828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45828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45828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45828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45828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45828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45828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45828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45828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45828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45828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45828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45828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45828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45828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45828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45828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45828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45828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45828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45828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45828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45828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45828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45828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45828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45828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45828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45828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45828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45828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45828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45828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45828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45828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45828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45828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45828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45828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45828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45828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45828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45828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45828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45828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45828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45828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45828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45828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45828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45828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45828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45828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45828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45828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45828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45828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45828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45828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45828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45828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45828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45828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45828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45828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45828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45828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45828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45828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45828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45828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45828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45828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45828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45828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45828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45828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45828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45828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45828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45828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45828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45828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45828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45828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45828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45828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45828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45828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45828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45828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45828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45828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45828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45828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45828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45828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45828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45828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45828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45828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45828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45828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45828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45828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45828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45828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45828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45828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45828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45828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45828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45828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45828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45828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45828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45828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45828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45828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45828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45828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45828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45828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45828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45828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45828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45828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45828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45828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45828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45828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45828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45828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45828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45828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45828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45828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45828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45828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45828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45828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45828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45828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45828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45828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45828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45828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45828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45828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45828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45828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45828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45828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45828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45828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45828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45828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45828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45828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45828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45828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45828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45828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45828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45828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45828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45828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45828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45828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45828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45828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45828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45828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45828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45828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45828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45828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45828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45828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45828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45828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45828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45828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45828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45828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45828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45828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45828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45828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45828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45828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45828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45828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45828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45828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45828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45828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45828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45828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45828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45828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45828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45828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45828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45828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45828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45828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45828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45828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45828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45828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45828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45828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45828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45828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45828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45828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45828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45828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45828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45828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45828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45828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45828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45828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45828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45828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45828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45828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45828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45828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45828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45828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45828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45828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45828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45828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45828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45828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45828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45828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45828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45828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45828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45828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45828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45828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45828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45828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45828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45828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45828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45828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45828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45828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45828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45828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45828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45828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45828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45828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45828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45828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45828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45828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45828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45828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45828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45828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45828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45828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45828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45828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45828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45828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45828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45828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45828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45828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45828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45828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45828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45828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45828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45828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45828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45828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45828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45828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45828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45828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45828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45828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45828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45828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45828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45828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45828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45828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45828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45828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45828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45828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45828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45828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45828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45828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45828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45828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45828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45828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45828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45828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45828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45828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45828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45828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45828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45828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45828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45828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45828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45828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45828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45828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45828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45828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45828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45828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45828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45828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45828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45828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45828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45828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45828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45828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45828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45828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45828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45828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45828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45828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45828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45828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45828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45828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45828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45828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45828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45828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45828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45828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45828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45828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45828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45828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45828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45828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45828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45828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45828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45828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45828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45828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45828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45828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45828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45828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45828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45828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45828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45828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45828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45828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45828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45828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45828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45828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45828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45828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45828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45828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45828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45828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45828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45828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45828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45828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45828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45828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45828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45828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45828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45828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45828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45828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45828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45828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45828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45828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45828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45828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45828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45828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45828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45828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45828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45828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45828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45828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45828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45828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45828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45828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45828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45828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45828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45828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45828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45828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45828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45828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45828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45828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45828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45828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45828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45828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45828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45828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45828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45828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45828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45828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45828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45828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45828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45828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45828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45828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45828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45828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45828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45828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45828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45828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45828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45828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45828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45828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24004-2025</t>
        </is>
      </c>
      <c r="B13125" s="1" t="n">
        <v>45796</v>
      </c>
      <c r="C13125" s="1" t="n">
        <v>45828</v>
      </c>
      <c r="D13125" t="inlineStr">
        <is>
          <t>JÖNKÖPINGS LÄN</t>
        </is>
      </c>
      <c r="E13125" t="inlineStr">
        <is>
          <t>GISLAVED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24113-2025</t>
        </is>
      </c>
      <c r="B13126" s="1" t="n">
        <v>45796</v>
      </c>
      <c r="C13126" s="1" t="n">
        <v>45828</v>
      </c>
      <c r="D13126" t="inlineStr">
        <is>
          <t>JÖNKÖPINGS LÄN</t>
        </is>
      </c>
      <c r="E13126" t="inlineStr">
        <is>
          <t>NÄSSJÖ</t>
        </is>
      </c>
      <c r="F13126" t="inlineStr">
        <is>
          <t>Kommuner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45828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23966-2025</t>
        </is>
      </c>
      <c r="B13128" s="1" t="n">
        <v>45796</v>
      </c>
      <c r="C13128" s="1" t="n">
        <v>45828</v>
      </c>
      <c r="D13128" t="inlineStr">
        <is>
          <t>JÖNKÖPINGS LÄN</t>
        </is>
      </c>
      <c r="E13128" t="inlineStr">
        <is>
          <t>ANEBY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24122-2025</t>
        </is>
      </c>
      <c r="B13129" s="1" t="n">
        <v>45796</v>
      </c>
      <c r="C13129" s="1" t="n">
        <v>45828</v>
      </c>
      <c r="D13129" t="inlineStr">
        <is>
          <t>JÖNKÖPINGS LÄN</t>
        </is>
      </c>
      <c r="E13129" t="inlineStr">
        <is>
          <t>GISLAVED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45828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45828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45828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45828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45828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45828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45828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45828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45828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24708-2025</t>
        </is>
      </c>
      <c r="B13139" s="1" t="n">
        <v>45798</v>
      </c>
      <c r="C13139" s="1" t="n">
        <v>45828</v>
      </c>
      <c r="D13139" t="inlineStr">
        <is>
          <t>JÖNKÖPINGS LÄN</t>
        </is>
      </c>
      <c r="E13139" t="inlineStr">
        <is>
          <t>ANEBY</t>
        </is>
      </c>
      <c r="G13139" t="n">
        <v>11.7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24618-2025</t>
        </is>
      </c>
      <c r="B13140" s="1" t="n">
        <v>45798</v>
      </c>
      <c r="C13140" s="1" t="n">
        <v>45828</v>
      </c>
      <c r="D13140" t="inlineStr">
        <is>
          <t>JÖNKÖPINGS LÄN</t>
        </is>
      </c>
      <c r="E13140" t="inlineStr">
        <is>
          <t>SÄVSJÖ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24500-2025</t>
        </is>
      </c>
      <c r="B13141" s="1" t="n">
        <v>45798</v>
      </c>
      <c r="C13141" s="1" t="n">
        <v>45828</v>
      </c>
      <c r="D13141" t="inlineStr">
        <is>
          <t>JÖNKÖPINGS LÄN</t>
        </is>
      </c>
      <c r="E13141" t="inlineStr">
        <is>
          <t>GNOSJÖ</t>
        </is>
      </c>
      <c r="G13141" t="n">
        <v>1.4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24639-2025</t>
        </is>
      </c>
      <c r="B13142" s="1" t="n">
        <v>45798</v>
      </c>
      <c r="C13142" s="1" t="n">
        <v>45828</v>
      </c>
      <c r="D13142" t="inlineStr">
        <is>
          <t>JÖNKÖPINGS LÄN</t>
        </is>
      </c>
      <c r="E13142" t="inlineStr">
        <is>
          <t>VAGGERYD</t>
        </is>
      </c>
      <c r="G13142" t="n">
        <v>0.9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24709-2025</t>
        </is>
      </c>
      <c r="B13143" s="1" t="n">
        <v>45798</v>
      </c>
      <c r="C13143" s="1" t="n">
        <v>45828</v>
      </c>
      <c r="D13143" t="inlineStr">
        <is>
          <t>JÖNKÖPINGS LÄN</t>
        </is>
      </c>
      <c r="E13143" t="inlineStr">
        <is>
          <t>ANEBY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24677-2025</t>
        </is>
      </c>
      <c r="B13144" s="1" t="n">
        <v>45798</v>
      </c>
      <c r="C13144" s="1" t="n">
        <v>45828</v>
      </c>
      <c r="D13144" t="inlineStr">
        <is>
          <t>JÖNKÖPINGS LÄN</t>
        </is>
      </c>
      <c r="E13144" t="inlineStr">
        <is>
          <t>EKSJÖ</t>
        </is>
      </c>
      <c r="G13144" t="n">
        <v>1.2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45828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45828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24883-2025</t>
        </is>
      </c>
      <c r="B13147" s="1" t="n">
        <v>45799</v>
      </c>
      <c r="C13147" s="1" t="n">
        <v>45828</v>
      </c>
      <c r="D13147" t="inlineStr">
        <is>
          <t>JÖNKÖPINGS LÄN</t>
        </is>
      </c>
      <c r="E13147" t="inlineStr">
        <is>
          <t>JÖNKÖPING</t>
        </is>
      </c>
      <c r="G13147" t="n">
        <v>1.1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24861-2025</t>
        </is>
      </c>
      <c r="B13148" s="1" t="n">
        <v>45799</v>
      </c>
      <c r="C13148" s="1" t="n">
        <v>45828</v>
      </c>
      <c r="D13148" t="inlineStr">
        <is>
          <t>JÖNKÖPINGS LÄN</t>
        </is>
      </c>
      <c r="E13148" t="inlineStr">
        <is>
          <t>GNOSJÖ</t>
        </is>
      </c>
      <c r="G13148" t="n">
        <v>5.6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24981-2025</t>
        </is>
      </c>
      <c r="B13149" s="1" t="n">
        <v>45799</v>
      </c>
      <c r="C13149" s="1" t="n">
        <v>45828</v>
      </c>
      <c r="D13149" t="inlineStr">
        <is>
          <t>JÖNKÖPINGS LÄN</t>
        </is>
      </c>
      <c r="E13149" t="inlineStr">
        <is>
          <t>HABO</t>
        </is>
      </c>
      <c r="G13149" t="n">
        <v>1.6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24973-2025</t>
        </is>
      </c>
      <c r="B13150" s="1" t="n">
        <v>45799</v>
      </c>
      <c r="C13150" s="1" t="n">
        <v>45828</v>
      </c>
      <c r="D13150" t="inlineStr">
        <is>
          <t>JÖNKÖPINGS LÄN</t>
        </is>
      </c>
      <c r="E13150" t="inlineStr">
        <is>
          <t>JÖNKÖPING</t>
        </is>
      </c>
      <c r="G13150" t="n">
        <v>2.4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24866-2025</t>
        </is>
      </c>
      <c r="B13151" s="1" t="n">
        <v>45799</v>
      </c>
      <c r="C13151" s="1" t="n">
        <v>45828</v>
      </c>
      <c r="D13151" t="inlineStr">
        <is>
          <t>JÖNKÖPINGS LÄN</t>
        </is>
      </c>
      <c r="E13151" t="inlineStr">
        <is>
          <t>GNOSJÖ</t>
        </is>
      </c>
      <c r="G13151" t="n">
        <v>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25400-2025</t>
        </is>
      </c>
      <c r="B13152" s="1" t="n">
        <v>45799</v>
      </c>
      <c r="C13152" s="1" t="n">
        <v>45828</v>
      </c>
      <c r="D13152" t="inlineStr">
        <is>
          <t>JÖNKÖPINGS LÄN</t>
        </is>
      </c>
      <c r="E13152" t="inlineStr">
        <is>
          <t>VAGGERYD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25011-2025</t>
        </is>
      </c>
      <c r="B13153" s="1" t="n">
        <v>45799</v>
      </c>
      <c r="C13153" s="1" t="n">
        <v>45828</v>
      </c>
      <c r="D13153" t="inlineStr">
        <is>
          <t>JÖNKÖPINGS LÄN</t>
        </is>
      </c>
      <c r="E13153" t="inlineStr">
        <is>
          <t>VETLANDA</t>
        </is>
      </c>
      <c r="G13153" t="n">
        <v>1.7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25391-2025</t>
        </is>
      </c>
      <c r="B13154" s="1" t="n">
        <v>45799</v>
      </c>
      <c r="C13154" s="1" t="n">
        <v>45828</v>
      </c>
      <c r="D13154" t="inlineStr">
        <is>
          <t>JÖNKÖPINGS LÄN</t>
        </is>
      </c>
      <c r="E13154" t="inlineStr">
        <is>
          <t>VAGGERYD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24965-2025</t>
        </is>
      </c>
      <c r="B13155" s="1" t="n">
        <v>45799</v>
      </c>
      <c r="C13155" s="1" t="n">
        <v>45828</v>
      </c>
      <c r="D13155" t="inlineStr">
        <is>
          <t>JÖNKÖPINGS LÄN</t>
        </is>
      </c>
      <c r="E13155" t="inlineStr">
        <is>
          <t>JÖNKÖPING</t>
        </is>
      </c>
      <c r="G13155" t="n">
        <v>0.8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24991-2025</t>
        </is>
      </c>
      <c r="B13156" s="1" t="n">
        <v>45799</v>
      </c>
      <c r="C13156" s="1" t="n">
        <v>45828</v>
      </c>
      <c r="D13156" t="inlineStr">
        <is>
          <t>JÖNKÖPINGS LÄN</t>
        </is>
      </c>
      <c r="E13156" t="inlineStr">
        <is>
          <t>VETLANDA</t>
        </is>
      </c>
      <c r="G13156" t="n">
        <v>1.1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24997-2025</t>
        </is>
      </c>
      <c r="B13157" s="1" t="n">
        <v>45799</v>
      </c>
      <c r="C13157" s="1" t="n">
        <v>45828</v>
      </c>
      <c r="D13157" t="inlineStr">
        <is>
          <t>JÖNKÖPINGS LÄN</t>
        </is>
      </c>
      <c r="E13157" t="inlineStr">
        <is>
          <t>VÄRNAMO</t>
        </is>
      </c>
      <c r="G13157" t="n">
        <v>1.9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25070-2025</t>
        </is>
      </c>
      <c r="B13158" s="1" t="n">
        <v>45799</v>
      </c>
      <c r="C13158" s="1" t="n">
        <v>45828</v>
      </c>
      <c r="D13158" t="inlineStr">
        <is>
          <t>JÖNKÖPINGS LÄN</t>
        </is>
      </c>
      <c r="E13158" t="inlineStr">
        <is>
          <t>NÄSSJÖ</t>
        </is>
      </c>
      <c r="G13158" t="n">
        <v>1.8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24879-2025</t>
        </is>
      </c>
      <c r="B13159" s="1" t="n">
        <v>45799</v>
      </c>
      <c r="C13159" s="1" t="n">
        <v>45828</v>
      </c>
      <c r="D13159" t="inlineStr">
        <is>
          <t>JÖNKÖPINGS LÄN</t>
        </is>
      </c>
      <c r="E13159" t="inlineStr">
        <is>
          <t>GNOSJÖ</t>
        </is>
      </c>
      <c r="G13159" t="n">
        <v>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25081-2025</t>
        </is>
      </c>
      <c r="B13160" s="1" t="n">
        <v>45800</v>
      </c>
      <c r="C13160" s="1" t="n">
        <v>45828</v>
      </c>
      <c r="D13160" t="inlineStr">
        <is>
          <t>JÖNKÖPINGS LÄN</t>
        </is>
      </c>
      <c r="E13160" t="inlineStr">
        <is>
          <t>VÄRNAMO</t>
        </is>
      </c>
      <c r="G13160" t="n">
        <v>1.8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24886-2025</t>
        </is>
      </c>
      <c r="B13161" s="1" t="n">
        <v>45799</v>
      </c>
      <c r="C13161" s="1" t="n">
        <v>45828</v>
      </c>
      <c r="D13161" t="inlineStr">
        <is>
          <t>JÖNKÖPINGS LÄN</t>
        </is>
      </c>
      <c r="E13161" t="inlineStr">
        <is>
          <t>JÖNKÖPING</t>
        </is>
      </c>
      <c r="G13161" t="n">
        <v>2.1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24900-2025</t>
        </is>
      </c>
      <c r="B13162" s="1" t="n">
        <v>45799</v>
      </c>
      <c r="C13162" s="1" t="n">
        <v>45828</v>
      </c>
      <c r="D13162" t="inlineStr">
        <is>
          <t>JÖNKÖPINGS LÄN</t>
        </is>
      </c>
      <c r="E13162" t="inlineStr">
        <is>
          <t>JÖNKÖPING</t>
        </is>
      </c>
      <c r="G13162" t="n">
        <v>2.8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25197-2025</t>
        </is>
      </c>
      <c r="B13163" s="1" t="n">
        <v>45800</v>
      </c>
      <c r="C13163" s="1" t="n">
        <v>45828</v>
      </c>
      <c r="D13163" t="inlineStr">
        <is>
          <t>JÖNKÖPINGS LÄN</t>
        </is>
      </c>
      <c r="E13163" t="inlineStr">
        <is>
          <t>VETLANDA</t>
        </is>
      </c>
      <c r="G13163" t="n">
        <v>1.4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25418-2025</t>
        </is>
      </c>
      <c r="B13164" s="1" t="n">
        <v>45800</v>
      </c>
      <c r="C13164" s="1" t="n">
        <v>45828</v>
      </c>
      <c r="D13164" t="inlineStr">
        <is>
          <t>JÖNKÖPINGS LÄN</t>
        </is>
      </c>
      <c r="E13164" t="inlineStr">
        <is>
          <t>NÄSSJÖ</t>
        </is>
      </c>
      <c r="G13164" t="n">
        <v>3.1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25122-2025</t>
        </is>
      </c>
      <c r="B13165" s="1" t="n">
        <v>45800</v>
      </c>
      <c r="C13165" s="1" t="n">
        <v>45828</v>
      </c>
      <c r="D13165" t="inlineStr">
        <is>
          <t>JÖNKÖPINGS LÄN</t>
        </is>
      </c>
      <c r="E13165" t="inlineStr">
        <is>
          <t>NÄSSJÖ</t>
        </is>
      </c>
      <c r="G13165" t="n">
        <v>3.5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25266-2025</t>
        </is>
      </c>
      <c r="B13166" s="1" t="n">
        <v>45800</v>
      </c>
      <c r="C13166" s="1" t="n">
        <v>45828</v>
      </c>
      <c r="D13166" t="inlineStr">
        <is>
          <t>JÖNKÖPINGS LÄN</t>
        </is>
      </c>
      <c r="E13166" t="inlineStr">
        <is>
          <t>SÄVSJÖ</t>
        </is>
      </c>
      <c r="G13166" t="n">
        <v>3.3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25084-2025</t>
        </is>
      </c>
      <c r="B13167" s="1" t="n">
        <v>45800</v>
      </c>
      <c r="C13167" s="1" t="n">
        <v>45828</v>
      </c>
      <c r="D13167" t="inlineStr">
        <is>
          <t>JÖNKÖPINGS LÄN</t>
        </is>
      </c>
      <c r="E13167" t="inlineStr">
        <is>
          <t>VÄRNAMO</t>
        </is>
      </c>
      <c r="G13167" t="n">
        <v>0.4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25083-2025</t>
        </is>
      </c>
      <c r="B13168" s="1" t="n">
        <v>45800</v>
      </c>
      <c r="C13168" s="1" t="n">
        <v>45828</v>
      </c>
      <c r="D13168" t="inlineStr">
        <is>
          <t>JÖNKÖPINGS LÄN</t>
        </is>
      </c>
      <c r="E13168" t="inlineStr">
        <is>
          <t>VÄRNAMO</t>
        </is>
      </c>
      <c r="G13168" t="n">
        <v>0.6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25481-2025</t>
        </is>
      </c>
      <c r="B13169" s="1" t="n">
        <v>45803</v>
      </c>
      <c r="C13169" s="1" t="n">
        <v>45828</v>
      </c>
      <c r="D13169" t="inlineStr">
        <is>
          <t>JÖNKÖPINGS LÄN</t>
        </is>
      </c>
      <c r="E13169" t="inlineStr">
        <is>
          <t>VÄRNAMO</t>
        </is>
      </c>
      <c r="F13169" t="inlineStr">
        <is>
          <t>Övriga Aktiebolag</t>
        </is>
      </c>
      <c r="G13169" t="n">
        <v>3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25482-2025</t>
        </is>
      </c>
      <c r="B13170" s="1" t="n">
        <v>45803</v>
      </c>
      <c r="C13170" s="1" t="n">
        <v>45828</v>
      </c>
      <c r="D13170" t="inlineStr">
        <is>
          <t>JÖNKÖPINGS LÄN</t>
        </is>
      </c>
      <c r="E13170" t="inlineStr">
        <is>
          <t>GNOSJÖ</t>
        </is>
      </c>
      <c r="G13170" t="n">
        <v>8.300000000000001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25585-2025</t>
        </is>
      </c>
      <c r="B13171" s="1" t="n">
        <v>45803</v>
      </c>
      <c r="C13171" s="1" t="n">
        <v>45828</v>
      </c>
      <c r="D13171" t="inlineStr">
        <is>
          <t>JÖNKÖPINGS LÄN</t>
        </is>
      </c>
      <c r="E13171" t="inlineStr">
        <is>
          <t>JÖNKÖPING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25626-2025</t>
        </is>
      </c>
      <c r="B13172" s="1" t="n">
        <v>45803</v>
      </c>
      <c r="C13172" s="1" t="n">
        <v>45828</v>
      </c>
      <c r="D13172" t="inlineStr">
        <is>
          <t>JÖNKÖPINGS LÄN</t>
        </is>
      </c>
      <c r="E13172" t="inlineStr">
        <is>
          <t>VÄRNAMO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25647-2025</t>
        </is>
      </c>
      <c r="B13173" s="1" t="n">
        <v>45803</v>
      </c>
      <c r="C13173" s="1" t="n">
        <v>45828</v>
      </c>
      <c r="D13173" t="inlineStr">
        <is>
          <t>JÖNKÖPINGS LÄN</t>
        </is>
      </c>
      <c r="E13173" t="inlineStr">
        <is>
          <t>NÄSSJÖ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45828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25580-2025</t>
        </is>
      </c>
      <c r="B13175" s="1" t="n">
        <v>45803</v>
      </c>
      <c r="C13175" s="1" t="n">
        <v>45828</v>
      </c>
      <c r="D13175" t="inlineStr">
        <is>
          <t>JÖNKÖPINGS LÄN</t>
        </is>
      </c>
      <c r="E13175" t="inlineStr">
        <is>
          <t>VETLANDA</t>
        </is>
      </c>
      <c r="G13175" t="n">
        <v>0.5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25576-2025</t>
        </is>
      </c>
      <c r="B13176" s="1" t="n">
        <v>45803</v>
      </c>
      <c r="C13176" s="1" t="n">
        <v>45828</v>
      </c>
      <c r="D13176" t="inlineStr">
        <is>
          <t>JÖNKÖPINGS LÄN</t>
        </is>
      </c>
      <c r="E13176" t="inlineStr">
        <is>
          <t>VETLANDA</t>
        </is>
      </c>
      <c r="G13176" t="n">
        <v>1.4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45828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25967-2025</t>
        </is>
      </c>
      <c r="B13178" s="1" t="n">
        <v>45804</v>
      </c>
      <c r="C13178" s="1" t="n">
        <v>45828</v>
      </c>
      <c r="D13178" t="inlineStr">
        <is>
          <t>JÖNKÖPINGS LÄN</t>
        </is>
      </c>
      <c r="E13178" t="inlineStr">
        <is>
          <t>GISLAVED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25922-2025</t>
        </is>
      </c>
      <c r="B13179" s="1" t="n">
        <v>45804</v>
      </c>
      <c r="C13179" s="1" t="n">
        <v>45828</v>
      </c>
      <c r="D13179" t="inlineStr">
        <is>
          <t>JÖNKÖPINGS LÄN</t>
        </is>
      </c>
      <c r="E13179" t="inlineStr">
        <is>
          <t>VAGGERYD</t>
        </is>
      </c>
      <c r="F13179" t="inlineStr">
        <is>
          <t>Kyrkan</t>
        </is>
      </c>
      <c r="G13179" t="n">
        <v>2.3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25962-2025</t>
        </is>
      </c>
      <c r="B13180" s="1" t="n">
        <v>45804</v>
      </c>
      <c r="C13180" s="1" t="n">
        <v>45828</v>
      </c>
      <c r="D13180" t="inlineStr">
        <is>
          <t>JÖNKÖPINGS LÄN</t>
        </is>
      </c>
      <c r="E13180" t="inlineStr">
        <is>
          <t>GISLAVED</t>
        </is>
      </c>
      <c r="G13180" t="n">
        <v>1.5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45828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25966-2025</t>
        </is>
      </c>
      <c r="B13182" s="1" t="n">
        <v>45804</v>
      </c>
      <c r="C13182" s="1" t="n">
        <v>45828</v>
      </c>
      <c r="D13182" t="inlineStr">
        <is>
          <t>JÖNKÖPINGS LÄN</t>
        </is>
      </c>
      <c r="E13182" t="inlineStr">
        <is>
          <t>GISLAVED</t>
        </is>
      </c>
      <c r="G13182" t="n">
        <v>1.1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25913-2025</t>
        </is>
      </c>
      <c r="B13183" s="1" t="n">
        <v>45804</v>
      </c>
      <c r="C13183" s="1" t="n">
        <v>45828</v>
      </c>
      <c r="D13183" t="inlineStr">
        <is>
          <t>JÖNKÖPINGS LÄN</t>
        </is>
      </c>
      <c r="E13183" t="inlineStr">
        <is>
          <t>VÄRNAMO</t>
        </is>
      </c>
      <c r="G13183" t="n">
        <v>1.6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25925-2025</t>
        </is>
      </c>
      <c r="B13184" s="1" t="n">
        <v>45804</v>
      </c>
      <c r="C13184" s="1" t="n">
        <v>45828</v>
      </c>
      <c r="D13184" t="inlineStr">
        <is>
          <t>JÖNKÖPINGS LÄN</t>
        </is>
      </c>
      <c r="E13184" t="inlineStr">
        <is>
          <t>VAGGERYD</t>
        </is>
      </c>
      <c r="F13184" t="inlineStr">
        <is>
          <t>Kyrkan</t>
        </is>
      </c>
      <c r="G13184" t="n">
        <v>1.7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25841-2025</t>
        </is>
      </c>
      <c r="B13185" s="1" t="n">
        <v>45804</v>
      </c>
      <c r="C13185" s="1" t="n">
        <v>45828</v>
      </c>
      <c r="D13185" t="inlineStr">
        <is>
          <t>JÖNKÖPINGS LÄN</t>
        </is>
      </c>
      <c r="E13185" t="inlineStr">
        <is>
          <t>NÄSSJÖ</t>
        </is>
      </c>
      <c r="G13185" t="n">
        <v>1.8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25970-2025</t>
        </is>
      </c>
      <c r="B13186" s="1" t="n">
        <v>45804</v>
      </c>
      <c r="C13186" s="1" t="n">
        <v>45828</v>
      </c>
      <c r="D13186" t="inlineStr">
        <is>
          <t>JÖNKÖPINGS LÄN</t>
        </is>
      </c>
      <c r="E13186" t="inlineStr">
        <is>
          <t>VÄRNAMO</t>
        </is>
      </c>
      <c r="G13186" t="n">
        <v>0.8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25991-2025</t>
        </is>
      </c>
      <c r="B13187" s="1" t="n">
        <v>45804</v>
      </c>
      <c r="C13187" s="1" t="n">
        <v>45828</v>
      </c>
      <c r="D13187" t="inlineStr">
        <is>
          <t>JÖNKÖPINGS LÄN</t>
        </is>
      </c>
      <c r="E13187" t="inlineStr">
        <is>
          <t>GISLAVED</t>
        </is>
      </c>
      <c r="G13187" t="n">
        <v>1.3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25753-2025</t>
        </is>
      </c>
      <c r="B13188" s="1" t="n">
        <v>45804</v>
      </c>
      <c r="C13188" s="1" t="n">
        <v>45828</v>
      </c>
      <c r="D13188" t="inlineStr">
        <is>
          <t>JÖNKÖPINGS LÄN</t>
        </is>
      </c>
      <c r="E13188" t="inlineStr">
        <is>
          <t>JÖNKÖPING</t>
        </is>
      </c>
      <c r="G13188" t="n">
        <v>1.3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25964-2025</t>
        </is>
      </c>
      <c r="B13189" s="1" t="n">
        <v>45804</v>
      </c>
      <c r="C13189" s="1" t="n">
        <v>45828</v>
      </c>
      <c r="D13189" t="inlineStr">
        <is>
          <t>JÖNKÖPINGS LÄN</t>
        </is>
      </c>
      <c r="E13189" t="inlineStr">
        <is>
          <t>GISLAVED</t>
        </is>
      </c>
      <c r="G13189" t="n">
        <v>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25852-2025</t>
        </is>
      </c>
      <c r="B13190" s="1" t="n">
        <v>45804</v>
      </c>
      <c r="C13190" s="1" t="n">
        <v>45828</v>
      </c>
      <c r="D13190" t="inlineStr">
        <is>
          <t>JÖNKÖPINGS LÄN</t>
        </is>
      </c>
      <c r="E13190" t="inlineStr">
        <is>
          <t>JÖNKÖPING</t>
        </is>
      </c>
      <c r="G13190" t="n">
        <v>3.3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26059-2025</t>
        </is>
      </c>
      <c r="B13191" s="1" t="n">
        <v>45804</v>
      </c>
      <c r="C13191" s="1" t="n">
        <v>45828</v>
      </c>
      <c r="D13191" t="inlineStr">
        <is>
          <t>JÖNKÖPINGS LÄN</t>
        </is>
      </c>
      <c r="E13191" t="inlineStr">
        <is>
          <t>NÄSSJÖ</t>
        </is>
      </c>
      <c r="G13191" t="n">
        <v>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26093-2025</t>
        </is>
      </c>
      <c r="B13192" s="1" t="n">
        <v>45805</v>
      </c>
      <c r="C13192" s="1" t="n">
        <v>45828</v>
      </c>
      <c r="D13192" t="inlineStr">
        <is>
          <t>JÖNKÖPINGS LÄN</t>
        </is>
      </c>
      <c r="E13192" t="inlineStr">
        <is>
          <t>GISLAVED</t>
        </is>
      </c>
      <c r="G13192" t="n">
        <v>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26119-2025</t>
        </is>
      </c>
      <c r="B13193" s="1" t="n">
        <v>45805</v>
      </c>
      <c r="C13193" s="1" t="n">
        <v>45828</v>
      </c>
      <c r="D13193" t="inlineStr">
        <is>
          <t>JÖNKÖPINGS LÄN</t>
        </is>
      </c>
      <c r="E13193" t="inlineStr">
        <is>
          <t>VÄRNAMO</t>
        </is>
      </c>
      <c r="G13193" t="n">
        <v>0.7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26067-2025</t>
        </is>
      </c>
      <c r="B13194" s="1" t="n">
        <v>45805</v>
      </c>
      <c r="C13194" s="1" t="n">
        <v>45828</v>
      </c>
      <c r="D13194" t="inlineStr">
        <is>
          <t>JÖNKÖPINGS LÄN</t>
        </is>
      </c>
      <c r="E13194" t="inlineStr">
        <is>
          <t>VETLANDA</t>
        </is>
      </c>
      <c r="G13194" t="n">
        <v>3.2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26257-2025</t>
        </is>
      </c>
      <c r="B13195" s="1" t="n">
        <v>45805</v>
      </c>
      <c r="C13195" s="1" t="n">
        <v>45828</v>
      </c>
      <c r="D13195" t="inlineStr">
        <is>
          <t>JÖNKÖPINGS LÄN</t>
        </is>
      </c>
      <c r="E13195" t="inlineStr">
        <is>
          <t>JÖNKÖPING</t>
        </is>
      </c>
      <c r="G13195" t="n">
        <v>0.6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26069-2025</t>
        </is>
      </c>
      <c r="B13196" s="1" t="n">
        <v>45805</v>
      </c>
      <c r="C13196" s="1" t="n">
        <v>45828</v>
      </c>
      <c r="D13196" t="inlineStr">
        <is>
          <t>JÖNKÖPINGS LÄN</t>
        </is>
      </c>
      <c r="E13196" t="inlineStr">
        <is>
          <t>GNOSJÖ</t>
        </is>
      </c>
      <c r="G13196" t="n">
        <v>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26259-2025</t>
        </is>
      </c>
      <c r="B13197" s="1" t="n">
        <v>45805</v>
      </c>
      <c r="C13197" s="1" t="n">
        <v>45828</v>
      </c>
      <c r="D13197" t="inlineStr">
        <is>
          <t>JÖNKÖPINGS LÄN</t>
        </is>
      </c>
      <c r="E13197" t="inlineStr">
        <is>
          <t>JÖNKÖPING</t>
        </is>
      </c>
      <c r="G13197" t="n">
        <v>1.5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26278-2025</t>
        </is>
      </c>
      <c r="B13198" s="1" t="n">
        <v>45805</v>
      </c>
      <c r="C13198" s="1" t="n">
        <v>45828</v>
      </c>
      <c r="D13198" t="inlineStr">
        <is>
          <t>JÖNKÖPINGS LÄN</t>
        </is>
      </c>
      <c r="E13198" t="inlineStr">
        <is>
          <t>NÄSSJÖ</t>
        </is>
      </c>
      <c r="G13198" t="n">
        <v>2.3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26071-2025</t>
        </is>
      </c>
      <c r="B13199" s="1" t="n">
        <v>45805</v>
      </c>
      <c r="C13199" s="1" t="n">
        <v>45828</v>
      </c>
      <c r="D13199" t="inlineStr">
        <is>
          <t>JÖNKÖPINGS LÄN</t>
        </is>
      </c>
      <c r="E13199" t="inlineStr">
        <is>
          <t>GNOSJÖ</t>
        </is>
      </c>
      <c r="G13199" t="n">
        <v>0.9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26239-2025</t>
        </is>
      </c>
      <c r="B13200" s="1" t="n">
        <v>45805</v>
      </c>
      <c r="C13200" s="1" t="n">
        <v>45828</v>
      </c>
      <c r="D13200" t="inlineStr">
        <is>
          <t>JÖNKÖPINGS LÄN</t>
        </is>
      </c>
      <c r="E13200" t="inlineStr">
        <is>
          <t>NÄSSJÖ</t>
        </is>
      </c>
      <c r="G13200" t="n">
        <v>1.2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26279-2025</t>
        </is>
      </c>
      <c r="B13201" s="1" t="n">
        <v>45805</v>
      </c>
      <c r="C13201" s="1" t="n">
        <v>45828</v>
      </c>
      <c r="D13201" t="inlineStr">
        <is>
          <t>JÖNKÖPINGS LÄN</t>
        </is>
      </c>
      <c r="E13201" t="inlineStr">
        <is>
          <t>JÖNKÖPING</t>
        </is>
      </c>
      <c r="G13201" t="n">
        <v>0.5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26184-2025</t>
        </is>
      </c>
      <c r="B13202" s="1" t="n">
        <v>45805</v>
      </c>
      <c r="C13202" s="1" t="n">
        <v>45828</v>
      </c>
      <c r="D13202" t="inlineStr">
        <is>
          <t>JÖNKÖPINGS LÄN</t>
        </is>
      </c>
      <c r="E13202" t="inlineStr">
        <is>
          <t>VETLANDA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45828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26361-2025</t>
        </is>
      </c>
      <c r="B13204" s="1" t="n">
        <v>45806</v>
      </c>
      <c r="C13204" s="1" t="n">
        <v>45828</v>
      </c>
      <c r="D13204" t="inlineStr">
        <is>
          <t>JÖNKÖPINGS LÄN</t>
        </is>
      </c>
      <c r="E13204" t="inlineStr">
        <is>
          <t>GNOSJÖ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26363-2025</t>
        </is>
      </c>
      <c r="B13205" s="1" t="n">
        <v>45806</v>
      </c>
      <c r="C13205" s="1" t="n">
        <v>45828</v>
      </c>
      <c r="D13205" t="inlineStr">
        <is>
          <t>JÖNKÖPINGS LÄN</t>
        </is>
      </c>
      <c r="E13205" t="inlineStr">
        <is>
          <t>JÖNKÖPING</t>
        </is>
      </c>
      <c r="G13205" t="n">
        <v>3.8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26362-2025</t>
        </is>
      </c>
      <c r="B13206" s="1" t="n">
        <v>45806</v>
      </c>
      <c r="C13206" s="1" t="n">
        <v>45828</v>
      </c>
      <c r="D13206" t="inlineStr">
        <is>
          <t>JÖNKÖPINGS LÄN</t>
        </is>
      </c>
      <c r="E13206" t="inlineStr">
        <is>
          <t>JÖNKÖPING</t>
        </is>
      </c>
      <c r="G13206" t="n">
        <v>3.4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26364-2025</t>
        </is>
      </c>
      <c r="B13207" s="1" t="n">
        <v>45806</v>
      </c>
      <c r="C13207" s="1" t="n">
        <v>45828</v>
      </c>
      <c r="D13207" t="inlineStr">
        <is>
          <t>JÖNKÖPINGS LÄN</t>
        </is>
      </c>
      <c r="E13207" t="inlineStr">
        <is>
          <t>HABO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26358-2025</t>
        </is>
      </c>
      <c r="B13208" s="1" t="n">
        <v>45806</v>
      </c>
      <c r="C13208" s="1" t="n">
        <v>45828</v>
      </c>
      <c r="D13208" t="inlineStr">
        <is>
          <t>JÖNKÖPINGS LÄN</t>
        </is>
      </c>
      <c r="E13208" t="inlineStr">
        <is>
          <t>JÖNKÖPING</t>
        </is>
      </c>
      <c r="G13208" t="n">
        <v>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26520-2025</t>
        </is>
      </c>
      <c r="B13209" s="1" t="n">
        <v>45807</v>
      </c>
      <c r="C13209" s="1" t="n">
        <v>45828</v>
      </c>
      <c r="D13209" t="inlineStr">
        <is>
          <t>JÖNKÖPINGS LÄN</t>
        </is>
      </c>
      <c r="E13209" t="inlineStr">
        <is>
          <t>HABO</t>
        </is>
      </c>
      <c r="G13209" t="n">
        <v>1.1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26432-2025</t>
        </is>
      </c>
      <c r="B13210" s="1" t="n">
        <v>45807</v>
      </c>
      <c r="C13210" s="1" t="n">
        <v>45828</v>
      </c>
      <c r="D13210" t="inlineStr">
        <is>
          <t>JÖNKÖPINGS LÄN</t>
        </is>
      </c>
      <c r="E13210" t="inlineStr">
        <is>
          <t>VÄRNAMO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26436-2025</t>
        </is>
      </c>
      <c r="B13211" s="1" t="n">
        <v>45807</v>
      </c>
      <c r="C13211" s="1" t="n">
        <v>45828</v>
      </c>
      <c r="D13211" t="inlineStr">
        <is>
          <t>JÖNKÖPINGS LÄN</t>
        </is>
      </c>
      <c r="E13211" t="inlineStr">
        <is>
          <t>VÄRNAMO</t>
        </is>
      </c>
      <c r="G13211" t="n">
        <v>1.8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26424-2025</t>
        </is>
      </c>
      <c r="B13212" s="1" t="n">
        <v>45807</v>
      </c>
      <c r="C13212" s="1" t="n">
        <v>45828</v>
      </c>
      <c r="D13212" t="inlineStr">
        <is>
          <t>JÖNKÖPINGS LÄN</t>
        </is>
      </c>
      <c r="E13212" t="inlineStr">
        <is>
          <t>SÄVSJÖ</t>
        </is>
      </c>
      <c r="G13212" t="n">
        <v>1.1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26431-2025</t>
        </is>
      </c>
      <c r="B13213" s="1" t="n">
        <v>45807</v>
      </c>
      <c r="C13213" s="1" t="n">
        <v>45828</v>
      </c>
      <c r="D13213" t="inlineStr">
        <is>
          <t>JÖNKÖPINGS LÄN</t>
        </is>
      </c>
      <c r="E13213" t="inlineStr">
        <is>
          <t>VÄRNAMO</t>
        </is>
      </c>
      <c r="G13213" t="n">
        <v>1.2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26458-2025</t>
        </is>
      </c>
      <c r="B13214" s="1" t="n">
        <v>45807</v>
      </c>
      <c r="C13214" s="1" t="n">
        <v>45828</v>
      </c>
      <c r="D13214" t="inlineStr">
        <is>
          <t>JÖNKÖPINGS LÄN</t>
        </is>
      </c>
      <c r="E13214" t="inlineStr">
        <is>
          <t>VAGGERYD</t>
        </is>
      </c>
      <c r="G13214" t="n">
        <v>6.4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26519-2025</t>
        </is>
      </c>
      <c r="B13215" s="1" t="n">
        <v>45807</v>
      </c>
      <c r="C13215" s="1" t="n">
        <v>45828</v>
      </c>
      <c r="D13215" t="inlineStr">
        <is>
          <t>JÖNKÖPINGS LÄN</t>
        </is>
      </c>
      <c r="E13215" t="inlineStr">
        <is>
          <t>HABO</t>
        </is>
      </c>
      <c r="G13215" t="n">
        <v>0.7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26397-2025</t>
        </is>
      </c>
      <c r="B13216" s="1" t="n">
        <v>45807</v>
      </c>
      <c r="C13216" s="1" t="n">
        <v>45828</v>
      </c>
      <c r="D13216" t="inlineStr">
        <is>
          <t>JÖNKÖPINGS LÄN</t>
        </is>
      </c>
      <c r="E13216" t="inlineStr">
        <is>
          <t>MULLSJÖ</t>
        </is>
      </c>
      <c r="G13216" t="n">
        <v>2.1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45828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26625-2025</t>
        </is>
      </c>
      <c r="B13218" s="1" t="n">
        <v>45810</v>
      </c>
      <c r="C13218" s="1" t="n">
        <v>45828</v>
      </c>
      <c r="D13218" t="inlineStr">
        <is>
          <t>JÖNKÖPINGS LÄN</t>
        </is>
      </c>
      <c r="E13218" t="inlineStr">
        <is>
          <t>GISLAVED</t>
        </is>
      </c>
      <c r="G13218" t="n">
        <v>1.7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26631-2025</t>
        </is>
      </c>
      <c r="B13219" s="1" t="n">
        <v>45810</v>
      </c>
      <c r="C13219" s="1" t="n">
        <v>45828</v>
      </c>
      <c r="D13219" t="inlineStr">
        <is>
          <t>JÖNKÖPINGS LÄN</t>
        </is>
      </c>
      <c r="E13219" t="inlineStr">
        <is>
          <t>GISLAVED</t>
        </is>
      </c>
      <c r="G13219" t="n">
        <v>1.3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26874-2025</t>
        </is>
      </c>
      <c r="B13220" s="1" t="n">
        <v>45810</v>
      </c>
      <c r="C13220" s="1" t="n">
        <v>45828</v>
      </c>
      <c r="D13220" t="inlineStr">
        <is>
          <t>JÖNKÖPINGS LÄN</t>
        </is>
      </c>
      <c r="E13220" t="inlineStr">
        <is>
          <t>VAGGERYD</t>
        </is>
      </c>
      <c r="G13220" t="n">
        <v>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26873-2025</t>
        </is>
      </c>
      <c r="B13221" s="1" t="n">
        <v>45810</v>
      </c>
      <c r="C13221" s="1" t="n">
        <v>45828</v>
      </c>
      <c r="D13221" t="inlineStr">
        <is>
          <t>JÖNKÖPINGS LÄN</t>
        </is>
      </c>
      <c r="E13221" t="inlineStr">
        <is>
          <t>HABO</t>
        </is>
      </c>
      <c r="G13221" t="n">
        <v>3.8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26770-2025</t>
        </is>
      </c>
      <c r="B13222" s="1" t="n">
        <v>45810</v>
      </c>
      <c r="C13222" s="1" t="n">
        <v>45828</v>
      </c>
      <c r="D13222" t="inlineStr">
        <is>
          <t>JÖNKÖPINGS LÄN</t>
        </is>
      </c>
      <c r="E13222" t="inlineStr">
        <is>
          <t>VETLANDA</t>
        </is>
      </c>
      <c r="G13222" t="n">
        <v>4.9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26613-2025</t>
        </is>
      </c>
      <c r="B13223" s="1" t="n">
        <v>45810</v>
      </c>
      <c r="C13223" s="1" t="n">
        <v>45828</v>
      </c>
      <c r="D13223" t="inlineStr">
        <is>
          <t>JÖNKÖPINGS LÄN</t>
        </is>
      </c>
      <c r="E13223" t="inlineStr">
        <is>
          <t>VAGGERYD</t>
        </is>
      </c>
      <c r="G13223" t="n">
        <v>2.5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26742-2025</t>
        </is>
      </c>
      <c r="B13224" s="1" t="n">
        <v>45810</v>
      </c>
      <c r="C13224" s="1" t="n">
        <v>45828</v>
      </c>
      <c r="D13224" t="inlineStr">
        <is>
          <t>JÖNKÖPINGS LÄN</t>
        </is>
      </c>
      <c r="E13224" t="inlineStr">
        <is>
          <t>HABO</t>
        </is>
      </c>
      <c r="G13224" t="n">
        <v>1.2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26881-2025</t>
        </is>
      </c>
      <c r="B13225" s="1" t="n">
        <v>45810</v>
      </c>
      <c r="C13225" s="1" t="n">
        <v>45828</v>
      </c>
      <c r="D13225" t="inlineStr">
        <is>
          <t>JÖNKÖPINGS LÄN</t>
        </is>
      </c>
      <c r="E13225" t="inlineStr">
        <is>
          <t>HABO</t>
        </is>
      </c>
      <c r="G13225" t="n">
        <v>11.6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26882-2025</t>
        </is>
      </c>
      <c r="B13226" s="1" t="n">
        <v>45810</v>
      </c>
      <c r="C13226" s="1" t="n">
        <v>45828</v>
      </c>
      <c r="D13226" t="inlineStr">
        <is>
          <t>JÖNKÖPINGS LÄN</t>
        </is>
      </c>
      <c r="E13226" t="inlineStr">
        <is>
          <t>HABO</t>
        </is>
      </c>
      <c r="G13226" t="n">
        <v>4.2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26626-2025</t>
        </is>
      </c>
      <c r="B13227" s="1" t="n">
        <v>45810</v>
      </c>
      <c r="C13227" s="1" t="n">
        <v>45828</v>
      </c>
      <c r="D13227" t="inlineStr">
        <is>
          <t>JÖNKÖPINGS LÄN</t>
        </is>
      </c>
      <c r="E13227" t="inlineStr">
        <is>
          <t>GISLAVED</t>
        </is>
      </c>
      <c r="G13227" t="n">
        <v>2.3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26855-2025</t>
        </is>
      </c>
      <c r="B13228" s="1" t="n">
        <v>45810</v>
      </c>
      <c r="C13228" s="1" t="n">
        <v>45828</v>
      </c>
      <c r="D13228" t="inlineStr">
        <is>
          <t>JÖNKÖPINGS LÄN</t>
        </is>
      </c>
      <c r="E13228" t="inlineStr">
        <is>
          <t>TRANÅS</t>
        </is>
      </c>
      <c r="F13228" t="inlineStr">
        <is>
          <t>Kommuner</t>
        </is>
      </c>
      <c r="G13228" t="n">
        <v>1.3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27089-2025</t>
        </is>
      </c>
      <c r="B13229" s="1" t="n">
        <v>45811</v>
      </c>
      <c r="C13229" s="1" t="n">
        <v>45828</v>
      </c>
      <c r="D13229" t="inlineStr">
        <is>
          <t>JÖNKÖPINGS LÄN</t>
        </is>
      </c>
      <c r="E13229" t="inlineStr">
        <is>
          <t>EKSJÖ</t>
        </is>
      </c>
      <c r="G13229" t="n">
        <v>0.5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27123-2025</t>
        </is>
      </c>
      <c r="B13230" s="1" t="n">
        <v>45811</v>
      </c>
      <c r="C13230" s="1" t="n">
        <v>45828</v>
      </c>
      <c r="D13230" t="inlineStr">
        <is>
          <t>JÖNKÖPINGS LÄN</t>
        </is>
      </c>
      <c r="E13230" t="inlineStr">
        <is>
          <t>GISLAVED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27134-2025</t>
        </is>
      </c>
      <c r="B13231" s="1" t="n">
        <v>45811</v>
      </c>
      <c r="C13231" s="1" t="n">
        <v>45828</v>
      </c>
      <c r="D13231" t="inlineStr">
        <is>
          <t>JÖNKÖPINGS LÄN</t>
        </is>
      </c>
      <c r="E13231" t="inlineStr">
        <is>
          <t>JÖNKÖPING</t>
        </is>
      </c>
      <c r="G13231" t="n">
        <v>9.1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27136-2025</t>
        </is>
      </c>
      <c r="B13232" s="1" t="n">
        <v>45812</v>
      </c>
      <c r="C13232" s="1" t="n">
        <v>45828</v>
      </c>
      <c r="D13232" t="inlineStr">
        <is>
          <t>JÖNKÖPINGS LÄN</t>
        </is>
      </c>
      <c r="E13232" t="inlineStr">
        <is>
          <t>GISLAVED</t>
        </is>
      </c>
      <c r="G13232" t="n">
        <v>0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26932-2025</t>
        </is>
      </c>
      <c r="B13233" s="1" t="n">
        <v>45811</v>
      </c>
      <c r="C13233" s="1" t="n">
        <v>45828</v>
      </c>
      <c r="D13233" t="inlineStr">
        <is>
          <t>JÖNKÖPINGS LÄN</t>
        </is>
      </c>
      <c r="E13233" t="inlineStr">
        <is>
          <t>HABO</t>
        </is>
      </c>
      <c r="G13233" t="n">
        <v>1.7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27050-2025</t>
        </is>
      </c>
      <c r="B13234" s="1" t="n">
        <v>45811</v>
      </c>
      <c r="C13234" s="1" t="n">
        <v>45828</v>
      </c>
      <c r="D13234" t="inlineStr">
        <is>
          <t>JÖNKÖPINGS LÄN</t>
        </is>
      </c>
      <c r="E13234" t="inlineStr">
        <is>
          <t>VETLANDA</t>
        </is>
      </c>
      <c r="G13234" t="n">
        <v>0.4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27007-2025</t>
        </is>
      </c>
      <c r="B13235" s="1" t="n">
        <v>45811</v>
      </c>
      <c r="C13235" s="1" t="n">
        <v>45828</v>
      </c>
      <c r="D13235" t="inlineStr">
        <is>
          <t>JÖNKÖPINGS LÄN</t>
        </is>
      </c>
      <c r="E13235" t="inlineStr">
        <is>
          <t>EKSJÖ</t>
        </is>
      </c>
      <c r="G13235" t="n">
        <v>2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27011-2025</t>
        </is>
      </c>
      <c r="B13236" s="1" t="n">
        <v>45811</v>
      </c>
      <c r="C13236" s="1" t="n">
        <v>45828</v>
      </c>
      <c r="D13236" t="inlineStr">
        <is>
          <t>JÖNKÖPINGS LÄN</t>
        </is>
      </c>
      <c r="E13236" t="inlineStr">
        <is>
          <t>VÄRNAMO</t>
        </is>
      </c>
      <c r="G13236" t="n">
        <v>3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26913-2025</t>
        </is>
      </c>
      <c r="B13237" s="1" t="n">
        <v>45811</v>
      </c>
      <c r="C13237" s="1" t="n">
        <v>45828</v>
      </c>
      <c r="D13237" t="inlineStr">
        <is>
          <t>JÖNKÖPINGS LÄN</t>
        </is>
      </c>
      <c r="E13237" t="inlineStr">
        <is>
          <t>SÄVSJÖ</t>
        </is>
      </c>
      <c r="G13237" t="n">
        <v>2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27053-2025</t>
        </is>
      </c>
      <c r="B13238" s="1" t="n">
        <v>45811</v>
      </c>
      <c r="C13238" s="1" t="n">
        <v>45828</v>
      </c>
      <c r="D13238" t="inlineStr">
        <is>
          <t>JÖNKÖPINGS LÄN</t>
        </is>
      </c>
      <c r="E13238" t="inlineStr">
        <is>
          <t>VETLANDA</t>
        </is>
      </c>
      <c r="G13238" t="n">
        <v>1.3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27048-2025</t>
        </is>
      </c>
      <c r="B13239" s="1" t="n">
        <v>45811</v>
      </c>
      <c r="C13239" s="1" t="n">
        <v>45828</v>
      </c>
      <c r="D13239" t="inlineStr">
        <is>
          <t>JÖNKÖPINGS LÄN</t>
        </is>
      </c>
      <c r="E13239" t="inlineStr">
        <is>
          <t>VETLANDA</t>
        </is>
      </c>
      <c r="G13239" t="n">
        <v>1.5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26955-2025</t>
        </is>
      </c>
      <c r="B13240" s="1" t="n">
        <v>45811</v>
      </c>
      <c r="C13240" s="1" t="n">
        <v>45828</v>
      </c>
      <c r="D13240" t="inlineStr">
        <is>
          <t>JÖNKÖPINGS LÄN</t>
        </is>
      </c>
      <c r="E13240" t="inlineStr">
        <is>
          <t>VÄRNAMO</t>
        </is>
      </c>
      <c r="G13240" t="n">
        <v>2.5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27070-2025</t>
        </is>
      </c>
      <c r="B13241" s="1" t="n">
        <v>45811</v>
      </c>
      <c r="C13241" s="1" t="n">
        <v>45828</v>
      </c>
      <c r="D13241" t="inlineStr">
        <is>
          <t>JÖNKÖPINGS LÄN</t>
        </is>
      </c>
      <c r="E13241" t="inlineStr">
        <is>
          <t>VETLANDA</t>
        </is>
      </c>
      <c r="G13241" t="n">
        <v>0.8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27414-2025</t>
        </is>
      </c>
      <c r="B13242" s="1" t="n">
        <v>45812</v>
      </c>
      <c r="C13242" s="1" t="n">
        <v>45828</v>
      </c>
      <c r="D13242" t="inlineStr">
        <is>
          <t>JÖNKÖPINGS LÄN</t>
        </is>
      </c>
      <c r="E13242" t="inlineStr">
        <is>
          <t>MULLSJÖ</t>
        </is>
      </c>
      <c r="G13242" t="n">
        <v>5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27415-2025</t>
        </is>
      </c>
      <c r="B13243" s="1" t="n">
        <v>45812</v>
      </c>
      <c r="C13243" s="1" t="n">
        <v>45828</v>
      </c>
      <c r="D13243" t="inlineStr">
        <is>
          <t>JÖNKÖPINGS LÄN</t>
        </is>
      </c>
      <c r="E13243" t="inlineStr">
        <is>
          <t>VÄRNAMO</t>
        </is>
      </c>
      <c r="G13243" t="n">
        <v>3.6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27416-2025</t>
        </is>
      </c>
      <c r="B13244" s="1" t="n">
        <v>45812</v>
      </c>
      <c r="C13244" s="1" t="n">
        <v>45828</v>
      </c>
      <c r="D13244" t="inlineStr">
        <is>
          <t>JÖNKÖPINGS LÄN</t>
        </is>
      </c>
      <c r="E13244" t="inlineStr">
        <is>
          <t>VÄRNAMO</t>
        </is>
      </c>
      <c r="G13244" t="n">
        <v>8.699999999999999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27314-2025</t>
        </is>
      </c>
      <c r="B13245" s="1" t="n">
        <v>45812</v>
      </c>
      <c r="C13245" s="1" t="n">
        <v>45828</v>
      </c>
      <c r="D13245" t="inlineStr">
        <is>
          <t>JÖNKÖPINGS LÄN</t>
        </is>
      </c>
      <c r="E13245" t="inlineStr">
        <is>
          <t>VETLANDA</t>
        </is>
      </c>
      <c r="G13245" t="n">
        <v>1.8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27204-2025</t>
        </is>
      </c>
      <c r="B13246" s="1" t="n">
        <v>45812</v>
      </c>
      <c r="C13246" s="1" t="n">
        <v>45828</v>
      </c>
      <c r="D13246" t="inlineStr">
        <is>
          <t>JÖNKÖPINGS LÄN</t>
        </is>
      </c>
      <c r="E13246" t="inlineStr">
        <is>
          <t>ANEBY</t>
        </is>
      </c>
      <c r="G13246" t="n">
        <v>2.4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27205-2025</t>
        </is>
      </c>
      <c r="B13247" s="1" t="n">
        <v>45812</v>
      </c>
      <c r="C13247" s="1" t="n">
        <v>45828</v>
      </c>
      <c r="D13247" t="inlineStr">
        <is>
          <t>JÖNKÖPINGS LÄN</t>
        </is>
      </c>
      <c r="E13247" t="inlineStr">
        <is>
          <t>ANEBY</t>
        </is>
      </c>
      <c r="G13247" t="n">
        <v>0.7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27372-2025</t>
        </is>
      </c>
      <c r="B13248" s="1" t="n">
        <v>45812</v>
      </c>
      <c r="C13248" s="1" t="n">
        <v>45828</v>
      </c>
      <c r="D13248" t="inlineStr">
        <is>
          <t>JÖNKÖPINGS LÄN</t>
        </is>
      </c>
      <c r="E13248" t="inlineStr">
        <is>
          <t>GISLAVED</t>
        </is>
      </c>
      <c r="G13248" t="n">
        <v>3.7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27327-2025</t>
        </is>
      </c>
      <c r="B13249" s="1" t="n">
        <v>45812</v>
      </c>
      <c r="C13249" s="1" t="n">
        <v>45828</v>
      </c>
      <c r="D13249" t="inlineStr">
        <is>
          <t>JÖNKÖPINGS LÄN</t>
        </is>
      </c>
      <c r="E13249" t="inlineStr">
        <is>
          <t>HABO</t>
        </is>
      </c>
      <c r="G13249" t="n">
        <v>7.1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27322-2025</t>
        </is>
      </c>
      <c r="B13250" s="1" t="n">
        <v>45812</v>
      </c>
      <c r="C13250" s="1" t="n">
        <v>45828</v>
      </c>
      <c r="D13250" t="inlineStr">
        <is>
          <t>JÖNKÖPINGS LÄN</t>
        </is>
      </c>
      <c r="E13250" t="inlineStr">
        <is>
          <t>VETLANDA</t>
        </is>
      </c>
      <c r="G13250" t="n">
        <v>0.7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27398-2025</t>
        </is>
      </c>
      <c r="B13251" s="1" t="n">
        <v>45812</v>
      </c>
      <c r="C13251" s="1" t="n">
        <v>45828</v>
      </c>
      <c r="D13251" t="inlineStr">
        <is>
          <t>JÖNKÖPINGS LÄN</t>
        </is>
      </c>
      <c r="E13251" t="inlineStr">
        <is>
          <t>VAGGERYD</t>
        </is>
      </c>
      <c r="F13251" t="inlineStr">
        <is>
          <t>Sveaskog</t>
        </is>
      </c>
      <c r="G13251" t="n">
        <v>9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27413-2025</t>
        </is>
      </c>
      <c r="B13252" s="1" t="n">
        <v>45812</v>
      </c>
      <c r="C13252" s="1" t="n">
        <v>45828</v>
      </c>
      <c r="D13252" t="inlineStr">
        <is>
          <t>JÖNKÖPINGS LÄN</t>
        </is>
      </c>
      <c r="E13252" t="inlineStr">
        <is>
          <t>MULLSJÖ</t>
        </is>
      </c>
      <c r="G13252" t="n">
        <v>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27396-2025</t>
        </is>
      </c>
      <c r="B13253" s="1" t="n">
        <v>45812</v>
      </c>
      <c r="C13253" s="1" t="n">
        <v>45828</v>
      </c>
      <c r="D13253" t="inlineStr">
        <is>
          <t>JÖNKÖPINGS LÄN</t>
        </is>
      </c>
      <c r="E13253" t="inlineStr">
        <is>
          <t>VAGGERYD</t>
        </is>
      </c>
      <c r="F13253" t="inlineStr">
        <is>
          <t>Sveaskog</t>
        </is>
      </c>
      <c r="G13253" t="n">
        <v>0.9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27228-2025</t>
        </is>
      </c>
      <c r="B13254" s="1" t="n">
        <v>45812</v>
      </c>
      <c r="C13254" s="1" t="n">
        <v>45828</v>
      </c>
      <c r="D13254" t="inlineStr">
        <is>
          <t>JÖNKÖPINGS LÄN</t>
        </is>
      </c>
      <c r="E13254" t="inlineStr">
        <is>
          <t>SÄVSJÖ</t>
        </is>
      </c>
      <c r="G13254" t="n">
        <v>1.2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27333-2025</t>
        </is>
      </c>
      <c r="B13255" s="1" t="n">
        <v>45812</v>
      </c>
      <c r="C13255" s="1" t="n">
        <v>45828</v>
      </c>
      <c r="D13255" t="inlineStr">
        <is>
          <t>JÖNKÖPINGS LÄN</t>
        </is>
      </c>
      <c r="E13255" t="inlineStr">
        <is>
          <t>GISLAVED</t>
        </is>
      </c>
      <c r="G13255" t="n">
        <v>1.5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27213-2025</t>
        </is>
      </c>
      <c r="B13256" s="1" t="n">
        <v>45812</v>
      </c>
      <c r="C13256" s="1" t="n">
        <v>45828</v>
      </c>
      <c r="D13256" t="inlineStr">
        <is>
          <t>JÖNKÖPINGS LÄN</t>
        </is>
      </c>
      <c r="E13256" t="inlineStr">
        <is>
          <t>SÄVSJÖ</t>
        </is>
      </c>
      <c r="G13256" t="n">
        <v>1.4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27625-2025</t>
        </is>
      </c>
      <c r="B13257" s="1" t="n">
        <v>45813</v>
      </c>
      <c r="C13257" s="1" t="n">
        <v>45828</v>
      </c>
      <c r="D13257" t="inlineStr">
        <is>
          <t>JÖNKÖPINGS LÄN</t>
        </is>
      </c>
      <c r="E13257" t="inlineStr">
        <is>
          <t>GISLAVED</t>
        </is>
      </c>
      <c r="G13257" t="n">
        <v>0.6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27609-2025</t>
        </is>
      </c>
      <c r="B13258" s="1" t="n">
        <v>45813</v>
      </c>
      <c r="C13258" s="1" t="n">
        <v>45828</v>
      </c>
      <c r="D13258" t="inlineStr">
        <is>
          <t>JÖNKÖPINGS LÄN</t>
        </is>
      </c>
      <c r="E13258" t="inlineStr">
        <is>
          <t>GISLAVED</t>
        </is>
      </c>
      <c r="G13258" t="n">
        <v>2.5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27598-2025</t>
        </is>
      </c>
      <c r="B13259" s="1" t="n">
        <v>45813</v>
      </c>
      <c r="C13259" s="1" t="n">
        <v>45828</v>
      </c>
      <c r="D13259" t="inlineStr">
        <is>
          <t>JÖNKÖPINGS LÄN</t>
        </is>
      </c>
      <c r="E13259" t="inlineStr">
        <is>
          <t>GISLAVED</t>
        </is>
      </c>
      <c r="G13259" t="n">
        <v>1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27669-2025</t>
        </is>
      </c>
      <c r="B13260" s="1" t="n">
        <v>45813</v>
      </c>
      <c r="C13260" s="1" t="n">
        <v>45828</v>
      </c>
      <c r="D13260" t="inlineStr">
        <is>
          <t>JÖNKÖPINGS LÄN</t>
        </is>
      </c>
      <c r="E13260" t="inlineStr">
        <is>
          <t>HABO</t>
        </is>
      </c>
      <c r="G13260" t="n">
        <v>7.2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27673-2025</t>
        </is>
      </c>
      <c r="B13261" s="1" t="n">
        <v>45813</v>
      </c>
      <c r="C13261" s="1" t="n">
        <v>45828</v>
      </c>
      <c r="D13261" t="inlineStr">
        <is>
          <t>JÖNKÖPINGS LÄN</t>
        </is>
      </c>
      <c r="E13261" t="inlineStr">
        <is>
          <t>VAGGERYD</t>
        </is>
      </c>
      <c r="G13261" t="n">
        <v>10.8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27675-2025</t>
        </is>
      </c>
      <c r="B13262" s="1" t="n">
        <v>45813</v>
      </c>
      <c r="C13262" s="1" t="n">
        <v>45828</v>
      </c>
      <c r="D13262" t="inlineStr">
        <is>
          <t>JÖNKÖPINGS LÄN</t>
        </is>
      </c>
      <c r="E13262" t="inlineStr">
        <is>
          <t>GNOSJÖ</t>
        </is>
      </c>
      <c r="G13262" t="n">
        <v>3.1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27678-2025</t>
        </is>
      </c>
      <c r="B13263" s="1" t="n">
        <v>45813</v>
      </c>
      <c r="C13263" s="1" t="n">
        <v>45828</v>
      </c>
      <c r="D13263" t="inlineStr">
        <is>
          <t>JÖNKÖPINGS LÄN</t>
        </is>
      </c>
      <c r="E13263" t="inlineStr">
        <is>
          <t>GNOSJÖ</t>
        </is>
      </c>
      <c r="G13263" t="n">
        <v>2.9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27626-2025</t>
        </is>
      </c>
      <c r="B13264" s="1" t="n">
        <v>45813</v>
      </c>
      <c r="C13264" s="1" t="n">
        <v>45828</v>
      </c>
      <c r="D13264" t="inlineStr">
        <is>
          <t>JÖNKÖPINGS LÄN</t>
        </is>
      </c>
      <c r="E13264" t="inlineStr">
        <is>
          <t>GISLAVED</t>
        </is>
      </c>
      <c r="G13264" t="n">
        <v>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27725-2025</t>
        </is>
      </c>
      <c r="B13265" s="1" t="n">
        <v>45814</v>
      </c>
      <c r="C13265" s="1" t="n">
        <v>45828</v>
      </c>
      <c r="D13265" t="inlineStr">
        <is>
          <t>JÖNKÖPINGS LÄN</t>
        </is>
      </c>
      <c r="E13265" t="inlineStr">
        <is>
          <t>VETLANDA</t>
        </is>
      </c>
      <c r="G13265" t="n">
        <v>1.7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27732-2025</t>
        </is>
      </c>
      <c r="B13266" s="1" t="n">
        <v>45814</v>
      </c>
      <c r="C13266" s="1" t="n">
        <v>45828</v>
      </c>
      <c r="D13266" t="inlineStr">
        <is>
          <t>JÖNKÖPINGS LÄN</t>
        </is>
      </c>
      <c r="E13266" t="inlineStr">
        <is>
          <t>HABO</t>
        </is>
      </c>
      <c r="G13266" t="n">
        <v>3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27769-2025</t>
        </is>
      </c>
      <c r="B13267" s="1" t="n">
        <v>45816</v>
      </c>
      <c r="C13267" s="1" t="n">
        <v>45828</v>
      </c>
      <c r="D13267" t="inlineStr">
        <is>
          <t>JÖNKÖPINGS LÄN</t>
        </is>
      </c>
      <c r="E13267" t="inlineStr">
        <is>
          <t>VETLANDA</t>
        </is>
      </c>
      <c r="G13267" t="n">
        <v>1.6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27790-2025</t>
        </is>
      </c>
      <c r="B13268" s="1" t="n">
        <v>45816</v>
      </c>
      <c r="C13268" s="1" t="n">
        <v>45828</v>
      </c>
      <c r="D13268" t="inlineStr">
        <is>
          <t>JÖNKÖPINGS LÄN</t>
        </is>
      </c>
      <c r="E13268" t="inlineStr">
        <is>
          <t>VETLANDA</t>
        </is>
      </c>
      <c r="G13268" t="n">
        <v>2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27815-2025</t>
        </is>
      </c>
      <c r="B13269" s="1" t="n">
        <v>45817</v>
      </c>
      <c r="C13269" s="1" t="n">
        <v>45828</v>
      </c>
      <c r="D13269" t="inlineStr">
        <is>
          <t>JÖNKÖPINGS LÄN</t>
        </is>
      </c>
      <c r="E13269" t="inlineStr">
        <is>
          <t>VAGGERYD</t>
        </is>
      </c>
      <c r="G13269" t="n">
        <v>1.2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27892-2025</t>
        </is>
      </c>
      <c r="B13270" s="1" t="n">
        <v>45817</v>
      </c>
      <c r="C13270" s="1" t="n">
        <v>45828</v>
      </c>
      <c r="D13270" t="inlineStr">
        <is>
          <t>JÖNKÖPINGS LÄN</t>
        </is>
      </c>
      <c r="E13270" t="inlineStr">
        <is>
          <t>GISLAVED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28094-2025</t>
        </is>
      </c>
      <c r="B13271" s="1" t="n">
        <v>45817</v>
      </c>
      <c r="C13271" s="1" t="n">
        <v>45828</v>
      </c>
      <c r="D13271" t="inlineStr">
        <is>
          <t>JÖNKÖPINGS LÄN</t>
        </is>
      </c>
      <c r="E13271" t="inlineStr">
        <is>
          <t>VETLANDA</t>
        </is>
      </c>
      <c r="G13271" t="n">
        <v>1.9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28110-2025</t>
        </is>
      </c>
      <c r="B13272" s="1" t="n">
        <v>45817</v>
      </c>
      <c r="C13272" s="1" t="n">
        <v>45828</v>
      </c>
      <c r="D13272" t="inlineStr">
        <is>
          <t>JÖNKÖPINGS LÄN</t>
        </is>
      </c>
      <c r="E13272" t="inlineStr">
        <is>
          <t>VETLANDA</t>
        </is>
      </c>
      <c r="G13272" t="n">
        <v>1.3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28111-2025</t>
        </is>
      </c>
      <c r="B13273" s="1" t="n">
        <v>45817</v>
      </c>
      <c r="C13273" s="1" t="n">
        <v>45828</v>
      </c>
      <c r="D13273" t="inlineStr">
        <is>
          <t>JÖNKÖPINGS LÄN</t>
        </is>
      </c>
      <c r="E13273" t="inlineStr">
        <is>
          <t>VETLANDA</t>
        </is>
      </c>
      <c r="G13273" t="n">
        <v>0.9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27800-2025</t>
        </is>
      </c>
      <c r="B13274" s="1" t="n">
        <v>45817</v>
      </c>
      <c r="C13274" s="1" t="n">
        <v>45828</v>
      </c>
      <c r="D13274" t="inlineStr">
        <is>
          <t>JÖNKÖPINGS LÄN</t>
        </is>
      </c>
      <c r="E13274" t="inlineStr">
        <is>
          <t>GISLAVED</t>
        </is>
      </c>
      <c r="G13274" t="n">
        <v>4.1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27955-2025</t>
        </is>
      </c>
      <c r="B13275" s="1" t="n">
        <v>45817</v>
      </c>
      <c r="C13275" s="1" t="n">
        <v>45828</v>
      </c>
      <c r="D13275" t="inlineStr">
        <is>
          <t>JÖNKÖPINGS LÄN</t>
        </is>
      </c>
      <c r="E13275" t="inlineStr">
        <is>
          <t>GNOSJÖ</t>
        </is>
      </c>
      <c r="G13275" t="n">
        <v>2.9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27826-2025</t>
        </is>
      </c>
      <c r="B13276" s="1" t="n">
        <v>45817</v>
      </c>
      <c r="C13276" s="1" t="n">
        <v>45828</v>
      </c>
      <c r="D13276" t="inlineStr">
        <is>
          <t>JÖNKÖPINGS LÄN</t>
        </is>
      </c>
      <c r="E13276" t="inlineStr">
        <is>
          <t>VAGGERYD</t>
        </is>
      </c>
      <c r="G13276" t="n">
        <v>3.9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28199-2025</t>
        </is>
      </c>
      <c r="B13277" s="1" t="n">
        <v>45818</v>
      </c>
      <c r="C13277" s="1" t="n">
        <v>45828</v>
      </c>
      <c r="D13277" t="inlineStr">
        <is>
          <t>JÖNKÖPINGS LÄN</t>
        </is>
      </c>
      <c r="E13277" t="inlineStr">
        <is>
          <t>VETLANDA</t>
        </is>
      </c>
      <c r="G13277" t="n">
        <v>0.8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28201-2025</t>
        </is>
      </c>
      <c r="B13278" s="1" t="n">
        <v>45818</v>
      </c>
      <c r="C13278" s="1" t="n">
        <v>45828</v>
      </c>
      <c r="D13278" t="inlineStr">
        <is>
          <t>JÖNKÖPINGS LÄN</t>
        </is>
      </c>
      <c r="E13278" t="inlineStr">
        <is>
          <t>VAGGERYD</t>
        </is>
      </c>
      <c r="G13278" t="n">
        <v>1.7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28277-2025</t>
        </is>
      </c>
      <c r="B13279" s="1" t="n">
        <v>45818</v>
      </c>
      <c r="C13279" s="1" t="n">
        <v>45828</v>
      </c>
      <c r="D13279" t="inlineStr">
        <is>
          <t>JÖNKÖPINGS LÄN</t>
        </is>
      </c>
      <c r="E13279" t="inlineStr">
        <is>
          <t>NÄSSJÖ</t>
        </is>
      </c>
      <c r="G13279" t="n">
        <v>5.8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28235-2025</t>
        </is>
      </c>
      <c r="B13280" s="1" t="n">
        <v>45818</v>
      </c>
      <c r="C13280" s="1" t="n">
        <v>45828</v>
      </c>
      <c r="D13280" t="inlineStr">
        <is>
          <t>JÖNKÖPINGS LÄN</t>
        </is>
      </c>
      <c r="E13280" t="inlineStr">
        <is>
          <t>VETLANDA</t>
        </is>
      </c>
      <c r="G13280" t="n">
        <v>1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28279-2025</t>
        </is>
      </c>
      <c r="B13281" s="1" t="n">
        <v>45818</v>
      </c>
      <c r="C13281" s="1" t="n">
        <v>45828</v>
      </c>
      <c r="D13281" t="inlineStr">
        <is>
          <t>JÖNKÖPINGS LÄN</t>
        </is>
      </c>
      <c r="E13281" t="inlineStr">
        <is>
          <t>NÄSSJÖ</t>
        </is>
      </c>
      <c r="G13281" t="n">
        <v>5.7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28229-2025</t>
        </is>
      </c>
      <c r="B13282" s="1" t="n">
        <v>45818</v>
      </c>
      <c r="C13282" s="1" t="n">
        <v>45828</v>
      </c>
      <c r="D13282" t="inlineStr">
        <is>
          <t>JÖNKÖPINGS LÄN</t>
        </is>
      </c>
      <c r="E13282" t="inlineStr">
        <is>
          <t>VETLANDA</t>
        </is>
      </c>
      <c r="G13282" t="n">
        <v>1.1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28233-2025</t>
        </is>
      </c>
      <c r="B13283" s="1" t="n">
        <v>45818</v>
      </c>
      <c r="C13283" s="1" t="n">
        <v>45828</v>
      </c>
      <c r="D13283" t="inlineStr">
        <is>
          <t>JÖNKÖPINGS LÄN</t>
        </is>
      </c>
      <c r="E13283" t="inlineStr">
        <is>
          <t>VETLANDA</t>
        </is>
      </c>
      <c r="G13283" t="n">
        <v>2.6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28276-2025</t>
        </is>
      </c>
      <c r="B13284" s="1" t="n">
        <v>45818</v>
      </c>
      <c r="C13284" s="1" t="n">
        <v>45828</v>
      </c>
      <c r="D13284" t="inlineStr">
        <is>
          <t>JÖNKÖPINGS LÄN</t>
        </is>
      </c>
      <c r="E13284" t="inlineStr">
        <is>
          <t>EKSJÖ</t>
        </is>
      </c>
      <c r="F13284" t="inlineStr">
        <is>
          <t>Övriga Aktiebolag</t>
        </is>
      </c>
      <c r="G13284" t="n">
        <v>6.7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28179-2025</t>
        </is>
      </c>
      <c r="B13285" s="1" t="n">
        <v>45818</v>
      </c>
      <c r="C13285" s="1" t="n">
        <v>45828</v>
      </c>
      <c r="D13285" t="inlineStr">
        <is>
          <t>JÖNKÖPINGS LÄN</t>
        </is>
      </c>
      <c r="E13285" t="inlineStr">
        <is>
          <t>GISLAVED</t>
        </is>
      </c>
      <c r="F13285" t="inlineStr">
        <is>
          <t>Kommuner</t>
        </is>
      </c>
      <c r="G13285" t="n">
        <v>1.8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28271-2025</t>
        </is>
      </c>
      <c r="B13286" s="1" t="n">
        <v>45818</v>
      </c>
      <c r="C13286" s="1" t="n">
        <v>45828</v>
      </c>
      <c r="D13286" t="inlineStr">
        <is>
          <t>JÖNKÖPINGS LÄN</t>
        </is>
      </c>
      <c r="E13286" t="inlineStr">
        <is>
          <t>NÄSSJÖ</t>
        </is>
      </c>
      <c r="G13286" t="n">
        <v>5.6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28312-2025</t>
        </is>
      </c>
      <c r="B13287" s="1" t="n">
        <v>45818</v>
      </c>
      <c r="C13287" s="1" t="n">
        <v>45828</v>
      </c>
      <c r="D13287" t="inlineStr">
        <is>
          <t>JÖNKÖPINGS LÄN</t>
        </is>
      </c>
      <c r="E13287" t="inlineStr">
        <is>
          <t>GNOSJÖ</t>
        </is>
      </c>
      <c r="G13287" t="n">
        <v>0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28318-2025</t>
        </is>
      </c>
      <c r="B13288" s="1" t="n">
        <v>45818</v>
      </c>
      <c r="C13288" s="1" t="n">
        <v>45828</v>
      </c>
      <c r="D13288" t="inlineStr">
        <is>
          <t>JÖNKÖPINGS LÄN</t>
        </is>
      </c>
      <c r="E13288" t="inlineStr">
        <is>
          <t>GISLAVED</t>
        </is>
      </c>
      <c r="G13288" t="n">
        <v>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28451-2025</t>
        </is>
      </c>
      <c r="B13289" s="1" t="n">
        <v>45819</v>
      </c>
      <c r="C13289" s="1" t="n">
        <v>45828</v>
      </c>
      <c r="D13289" t="inlineStr">
        <is>
          <t>JÖNKÖPINGS LÄN</t>
        </is>
      </c>
      <c r="E13289" t="inlineStr">
        <is>
          <t>EKSJÖ</t>
        </is>
      </c>
      <c r="G13289" t="n">
        <v>1.5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28623-2025</t>
        </is>
      </c>
      <c r="B13290" s="1" t="n">
        <v>45819</v>
      </c>
      <c r="C13290" s="1" t="n">
        <v>45828</v>
      </c>
      <c r="D13290" t="inlineStr">
        <is>
          <t>JÖNKÖPINGS LÄN</t>
        </is>
      </c>
      <c r="E13290" t="inlineStr">
        <is>
          <t>VETLANDA</t>
        </is>
      </c>
      <c r="G13290" t="n">
        <v>2.1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28685-2025</t>
        </is>
      </c>
      <c r="B13291" s="1" t="n">
        <v>45819</v>
      </c>
      <c r="C13291" s="1" t="n">
        <v>45828</v>
      </c>
      <c r="D13291" t="inlineStr">
        <is>
          <t>JÖNKÖPINGS LÄN</t>
        </is>
      </c>
      <c r="E13291" t="inlineStr">
        <is>
          <t>GISLAVED</t>
        </is>
      </c>
      <c r="G13291" t="n">
        <v>2.7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28533-2025</t>
        </is>
      </c>
      <c r="B13292" s="1" t="n">
        <v>45819</v>
      </c>
      <c r="C13292" s="1" t="n">
        <v>45828</v>
      </c>
      <c r="D13292" t="inlineStr">
        <is>
          <t>JÖNKÖPINGS LÄN</t>
        </is>
      </c>
      <c r="E13292" t="inlineStr">
        <is>
          <t>VETLANDA</t>
        </is>
      </c>
      <c r="G13292" t="n">
        <v>2.2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28543-2025</t>
        </is>
      </c>
      <c r="B13293" s="1" t="n">
        <v>45819</v>
      </c>
      <c r="C13293" s="1" t="n">
        <v>45828</v>
      </c>
      <c r="D13293" t="inlineStr">
        <is>
          <t>JÖNKÖPINGS LÄN</t>
        </is>
      </c>
      <c r="E13293" t="inlineStr">
        <is>
          <t>ANEBY</t>
        </is>
      </c>
      <c r="G13293" t="n">
        <v>0.5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28556-2025</t>
        </is>
      </c>
      <c r="B13294" s="1" t="n">
        <v>45819</v>
      </c>
      <c r="C13294" s="1" t="n">
        <v>45828</v>
      </c>
      <c r="D13294" t="inlineStr">
        <is>
          <t>JÖNKÖPINGS LÄN</t>
        </is>
      </c>
      <c r="E13294" t="inlineStr">
        <is>
          <t>JÖNKÖPING</t>
        </is>
      </c>
      <c r="G13294" t="n">
        <v>2.7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28530-2025</t>
        </is>
      </c>
      <c r="B13295" s="1" t="n">
        <v>45819</v>
      </c>
      <c r="C13295" s="1" t="n">
        <v>45828</v>
      </c>
      <c r="D13295" t="inlineStr">
        <is>
          <t>JÖNKÖPINGS LÄN</t>
        </is>
      </c>
      <c r="E13295" t="inlineStr">
        <is>
          <t>VETLANDA</t>
        </is>
      </c>
      <c r="G13295" t="n">
        <v>1.4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28540-2025</t>
        </is>
      </c>
      <c r="B13296" s="1" t="n">
        <v>45819</v>
      </c>
      <c r="C13296" s="1" t="n">
        <v>45828</v>
      </c>
      <c r="D13296" t="inlineStr">
        <is>
          <t>JÖNKÖPINGS LÄN</t>
        </is>
      </c>
      <c r="E13296" t="inlineStr">
        <is>
          <t>ANEBY</t>
        </is>
      </c>
      <c r="G13296" t="n">
        <v>1.1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28565-2025</t>
        </is>
      </c>
      <c r="B13297" s="1" t="n">
        <v>45819</v>
      </c>
      <c r="C13297" s="1" t="n">
        <v>45828</v>
      </c>
      <c r="D13297" t="inlineStr">
        <is>
          <t>JÖNKÖPINGS LÄN</t>
        </is>
      </c>
      <c r="E13297" t="inlineStr">
        <is>
          <t>EKSJÖ</t>
        </is>
      </c>
      <c r="G13297" t="n">
        <v>2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28590-2025</t>
        </is>
      </c>
      <c r="B13298" s="1" t="n">
        <v>45819</v>
      </c>
      <c r="C13298" s="1" t="n">
        <v>45828</v>
      </c>
      <c r="D13298" t="inlineStr">
        <is>
          <t>JÖNKÖPINGS LÄN</t>
        </is>
      </c>
      <c r="E13298" t="inlineStr">
        <is>
          <t>VETLANDA</t>
        </is>
      </c>
      <c r="G13298" t="n">
        <v>0.4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28631-2025</t>
        </is>
      </c>
      <c r="B13299" s="1" t="n">
        <v>45819</v>
      </c>
      <c r="C13299" s="1" t="n">
        <v>45828</v>
      </c>
      <c r="D13299" t="inlineStr">
        <is>
          <t>JÖNKÖPINGS LÄN</t>
        </is>
      </c>
      <c r="E13299" t="inlineStr">
        <is>
          <t>VETLANDA</t>
        </is>
      </c>
      <c r="G13299" t="n">
        <v>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28523-2025</t>
        </is>
      </c>
      <c r="B13300" s="1" t="n">
        <v>45819</v>
      </c>
      <c r="C13300" s="1" t="n">
        <v>45828</v>
      </c>
      <c r="D13300" t="inlineStr">
        <is>
          <t>JÖNKÖPINGS LÄN</t>
        </is>
      </c>
      <c r="E13300" t="inlineStr">
        <is>
          <t>VÄRNAMO</t>
        </is>
      </c>
      <c r="G13300" t="n">
        <v>3.4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28541-2025</t>
        </is>
      </c>
      <c r="B13301" s="1" t="n">
        <v>45819</v>
      </c>
      <c r="C13301" s="1" t="n">
        <v>45828</v>
      </c>
      <c r="D13301" t="inlineStr">
        <is>
          <t>JÖNKÖPINGS LÄN</t>
        </is>
      </c>
      <c r="E13301" t="inlineStr">
        <is>
          <t>ANEBY</t>
        </is>
      </c>
      <c r="G13301" t="n">
        <v>0.8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28438-2025</t>
        </is>
      </c>
      <c r="B13302" s="1" t="n">
        <v>45819</v>
      </c>
      <c r="C13302" s="1" t="n">
        <v>45828</v>
      </c>
      <c r="D13302" t="inlineStr">
        <is>
          <t>JÖNKÖPINGS LÄN</t>
        </is>
      </c>
      <c r="E13302" t="inlineStr">
        <is>
          <t>EKSJÖ</t>
        </is>
      </c>
      <c r="G13302" t="n">
        <v>1.1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28441-2025</t>
        </is>
      </c>
      <c r="B13303" s="1" t="n">
        <v>45819</v>
      </c>
      <c r="C13303" s="1" t="n">
        <v>45828</v>
      </c>
      <c r="D13303" t="inlineStr">
        <is>
          <t>JÖNKÖPINGS LÄN</t>
        </is>
      </c>
      <c r="E13303" t="inlineStr">
        <is>
          <t>EKSJÖ</t>
        </is>
      </c>
      <c r="G13303" t="n">
        <v>0.5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28463-2025</t>
        </is>
      </c>
      <c r="B13304" s="1" t="n">
        <v>45819</v>
      </c>
      <c r="C13304" s="1" t="n">
        <v>45828</v>
      </c>
      <c r="D13304" t="inlineStr">
        <is>
          <t>JÖNKÖPINGS LÄN</t>
        </is>
      </c>
      <c r="E13304" t="inlineStr">
        <is>
          <t>EKSJÖ</t>
        </is>
      </c>
      <c r="G13304" t="n">
        <v>1.4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28465-2025</t>
        </is>
      </c>
      <c r="B13305" s="1" t="n">
        <v>45819</v>
      </c>
      <c r="C13305" s="1" t="n">
        <v>45828</v>
      </c>
      <c r="D13305" t="inlineStr">
        <is>
          <t>JÖNKÖPINGS LÄN</t>
        </is>
      </c>
      <c r="E13305" t="inlineStr">
        <is>
          <t>EKSJÖ</t>
        </is>
      </c>
      <c r="G13305" t="n">
        <v>1.4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28439-2025</t>
        </is>
      </c>
      <c r="B13306" s="1" t="n">
        <v>45819</v>
      </c>
      <c r="C13306" s="1" t="n">
        <v>45828</v>
      </c>
      <c r="D13306" t="inlineStr">
        <is>
          <t>JÖNKÖPINGS LÄN</t>
        </is>
      </c>
      <c r="E13306" t="inlineStr">
        <is>
          <t>EKSJÖ</t>
        </is>
      </c>
      <c r="G13306" t="n">
        <v>0.6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28587-2025</t>
        </is>
      </c>
      <c r="B13307" s="1" t="n">
        <v>45819</v>
      </c>
      <c r="C13307" s="1" t="n">
        <v>45828</v>
      </c>
      <c r="D13307" t="inlineStr">
        <is>
          <t>JÖNKÖPINGS LÄN</t>
        </is>
      </c>
      <c r="E13307" t="inlineStr">
        <is>
          <t>VETLANDA</t>
        </is>
      </c>
      <c r="G13307" t="n">
        <v>1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28445-2025</t>
        </is>
      </c>
      <c r="B13308" s="1" t="n">
        <v>45819</v>
      </c>
      <c r="C13308" s="1" t="n">
        <v>45828</v>
      </c>
      <c r="D13308" t="inlineStr">
        <is>
          <t>JÖNKÖPINGS LÄN</t>
        </is>
      </c>
      <c r="E13308" t="inlineStr">
        <is>
          <t>EKSJÖ</t>
        </is>
      </c>
      <c r="G13308" t="n">
        <v>0.5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28553-2025</t>
        </is>
      </c>
      <c r="B13309" s="1" t="n">
        <v>45819</v>
      </c>
      <c r="C13309" s="1" t="n">
        <v>45828</v>
      </c>
      <c r="D13309" t="inlineStr">
        <is>
          <t>JÖNKÖPINGS LÄN</t>
        </is>
      </c>
      <c r="E13309" t="inlineStr">
        <is>
          <t>JÖNKÖPING</t>
        </is>
      </c>
      <c r="G13309" t="n">
        <v>0.9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28634-2025</t>
        </is>
      </c>
      <c r="B13310" s="1" t="n">
        <v>45819</v>
      </c>
      <c r="C13310" s="1" t="n">
        <v>45828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28524-2025</t>
        </is>
      </c>
      <c r="B13311" s="1" t="n">
        <v>45819</v>
      </c>
      <c r="C13311" s="1" t="n">
        <v>45828</v>
      </c>
      <c r="D13311" t="inlineStr">
        <is>
          <t>JÖNKÖPINGS LÄN</t>
        </is>
      </c>
      <c r="E13311" t="inlineStr">
        <is>
          <t>VETLANDA</t>
        </is>
      </c>
      <c r="G13311" t="n">
        <v>1.6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28625-2025</t>
        </is>
      </c>
      <c r="B13312" s="1" t="n">
        <v>45819</v>
      </c>
      <c r="C13312" s="1" t="n">
        <v>45828</v>
      </c>
      <c r="D13312" t="inlineStr">
        <is>
          <t>JÖNKÖPINGS LÄN</t>
        </is>
      </c>
      <c r="E13312" t="inlineStr">
        <is>
          <t>VAGGERYD</t>
        </is>
      </c>
      <c r="G13312" t="n">
        <v>1.2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28526-2025</t>
        </is>
      </c>
      <c r="B13313" s="1" t="n">
        <v>45819</v>
      </c>
      <c r="C13313" s="1" t="n">
        <v>45828</v>
      </c>
      <c r="D13313" t="inlineStr">
        <is>
          <t>JÖNKÖPINGS LÄN</t>
        </is>
      </c>
      <c r="E13313" t="inlineStr">
        <is>
          <t>VETLANDA</t>
        </is>
      </c>
      <c r="G13313" t="n">
        <v>0.6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28534-2025</t>
        </is>
      </c>
      <c r="B13314" s="1" t="n">
        <v>45819</v>
      </c>
      <c r="C13314" s="1" t="n">
        <v>45828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28557-2025</t>
        </is>
      </c>
      <c r="B13315" s="1" t="n">
        <v>45819</v>
      </c>
      <c r="C13315" s="1" t="n">
        <v>45828</v>
      </c>
      <c r="D13315" t="inlineStr">
        <is>
          <t>JÖNKÖPINGS LÄN</t>
        </is>
      </c>
      <c r="E13315" t="inlineStr">
        <is>
          <t>JÖNKÖPING</t>
        </is>
      </c>
      <c r="G13315" t="n">
        <v>4.2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28890-2025</t>
        </is>
      </c>
      <c r="B13316" s="1" t="n">
        <v>45820</v>
      </c>
      <c r="C13316" s="1" t="n">
        <v>45828</v>
      </c>
      <c r="D13316" t="inlineStr">
        <is>
          <t>JÖNKÖPINGS LÄN</t>
        </is>
      </c>
      <c r="E13316" t="inlineStr">
        <is>
          <t>VÄRNAMO</t>
        </is>
      </c>
      <c r="F13316" t="inlineStr">
        <is>
          <t>Kyrkan</t>
        </is>
      </c>
      <c r="G13316" t="n">
        <v>4.9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45828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28780-2025</t>
        </is>
      </c>
      <c r="B13318" s="1" t="n">
        <v>45820</v>
      </c>
      <c r="C13318" s="1" t="n">
        <v>45828</v>
      </c>
      <c r="D13318" t="inlineStr">
        <is>
          <t>JÖNKÖPINGS LÄN</t>
        </is>
      </c>
      <c r="E13318" t="inlineStr">
        <is>
          <t>HABO</t>
        </is>
      </c>
      <c r="G13318" t="n">
        <v>2.3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28942-2025</t>
        </is>
      </c>
      <c r="B13319" s="1" t="n">
        <v>45820</v>
      </c>
      <c r="C13319" s="1" t="n">
        <v>45828</v>
      </c>
      <c r="D13319" t="inlineStr">
        <is>
          <t>JÖNKÖPINGS LÄN</t>
        </is>
      </c>
      <c r="E13319" t="inlineStr">
        <is>
          <t>MULLSJÖ</t>
        </is>
      </c>
      <c r="G13319" t="n">
        <v>4.7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28940-2025</t>
        </is>
      </c>
      <c r="B13320" s="1" t="n">
        <v>45820</v>
      </c>
      <c r="C13320" s="1" t="n">
        <v>45828</v>
      </c>
      <c r="D13320" t="inlineStr">
        <is>
          <t>JÖNKÖPINGS LÄN</t>
        </is>
      </c>
      <c r="E13320" t="inlineStr">
        <is>
          <t>MULLSJÖ</t>
        </is>
      </c>
      <c r="G13320" t="n">
        <v>7.7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28941-2025</t>
        </is>
      </c>
      <c r="B13321" s="1" t="n">
        <v>45820</v>
      </c>
      <c r="C13321" s="1" t="n">
        <v>45828</v>
      </c>
      <c r="D13321" t="inlineStr">
        <is>
          <t>JÖNKÖPINGS LÄN</t>
        </is>
      </c>
      <c r="E13321" t="inlineStr">
        <is>
          <t>MULLSJÖ</t>
        </is>
      </c>
      <c r="G13321" t="n">
        <v>2.9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28747-2025</t>
        </is>
      </c>
      <c r="B13322" s="1" t="n">
        <v>45820</v>
      </c>
      <c r="C13322" s="1" t="n">
        <v>45828</v>
      </c>
      <c r="D13322" t="inlineStr">
        <is>
          <t>JÖNKÖPINGS LÄN</t>
        </is>
      </c>
      <c r="E13322" t="inlineStr">
        <is>
          <t>VETLANDA</t>
        </is>
      </c>
      <c r="F13322" t="inlineStr">
        <is>
          <t>Övriga Aktiebolag</t>
        </is>
      </c>
      <c r="G13322" t="n">
        <v>0.5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28990-2025</t>
        </is>
      </c>
      <c r="B13323" s="1" t="n">
        <v>45821</v>
      </c>
      <c r="C13323" s="1" t="n">
        <v>45828</v>
      </c>
      <c r="D13323" t="inlineStr">
        <is>
          <t>JÖNKÖPINGS LÄN</t>
        </is>
      </c>
      <c r="E13323" t="inlineStr">
        <is>
          <t>EKSJÖ</t>
        </is>
      </c>
      <c r="G13323" t="n">
        <v>1.8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29184-2025</t>
        </is>
      </c>
      <c r="B13324" s="1" t="n">
        <v>45821</v>
      </c>
      <c r="C13324" s="1" t="n">
        <v>45828</v>
      </c>
      <c r="D13324" t="inlineStr">
        <is>
          <t>JÖNKÖPINGS LÄN</t>
        </is>
      </c>
      <c r="E13324" t="inlineStr">
        <is>
          <t>NÄSSJÖ</t>
        </is>
      </c>
      <c r="G13324" t="n">
        <v>2.9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28977-2025</t>
        </is>
      </c>
      <c r="B13325" s="1" t="n">
        <v>45821</v>
      </c>
      <c r="C13325" s="1" t="n">
        <v>45828</v>
      </c>
      <c r="D13325" t="inlineStr">
        <is>
          <t>JÖNKÖPINGS LÄN</t>
        </is>
      </c>
      <c r="E13325" t="inlineStr">
        <is>
          <t>NÄSSJÖ</t>
        </is>
      </c>
      <c r="G13325" t="n">
        <v>1.5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29002-2025</t>
        </is>
      </c>
      <c r="B13326" s="1" t="n">
        <v>45821</v>
      </c>
      <c r="C13326" s="1" t="n">
        <v>45828</v>
      </c>
      <c r="D13326" t="inlineStr">
        <is>
          <t>JÖNKÖPINGS LÄN</t>
        </is>
      </c>
      <c r="E13326" t="inlineStr">
        <is>
          <t>NÄSSJÖ</t>
        </is>
      </c>
      <c r="G13326" t="n">
        <v>2.1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29179-2025</t>
        </is>
      </c>
      <c r="B13327" s="1" t="n">
        <v>45821</v>
      </c>
      <c r="C13327" s="1" t="n">
        <v>45828</v>
      </c>
      <c r="D13327" t="inlineStr">
        <is>
          <t>JÖNKÖPINGS LÄN</t>
        </is>
      </c>
      <c r="E13327" t="inlineStr">
        <is>
          <t>NÄSSJÖ</t>
        </is>
      </c>
      <c r="G13327" t="n">
        <v>5.4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29214-2025</t>
        </is>
      </c>
      <c r="B13328" s="1" t="n">
        <v>45824</v>
      </c>
      <c r="C13328" s="1" t="n">
        <v>45828</v>
      </c>
      <c r="D13328" t="inlineStr">
        <is>
          <t>JÖNKÖPINGS LÄN</t>
        </is>
      </c>
      <c r="E13328" t="inlineStr">
        <is>
          <t>NÄSSJÖ</t>
        </is>
      </c>
      <c r="G13328" t="n">
        <v>1.4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29217-2025</t>
        </is>
      </c>
      <c r="B13329" s="1" t="n">
        <v>45824</v>
      </c>
      <c r="C13329" s="1" t="n">
        <v>45828</v>
      </c>
      <c r="D13329" t="inlineStr">
        <is>
          <t>JÖNKÖPINGS LÄN</t>
        </is>
      </c>
      <c r="E13329" t="inlineStr">
        <is>
          <t>NÄSSJÖ</t>
        </is>
      </c>
      <c r="G13329" t="n">
        <v>0.3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29221-2025</t>
        </is>
      </c>
      <c r="B13330" s="1" t="n">
        <v>45824</v>
      </c>
      <c r="C13330" s="1" t="n">
        <v>45828</v>
      </c>
      <c r="D13330" t="inlineStr">
        <is>
          <t>JÖNKÖPINGS LÄN</t>
        </is>
      </c>
      <c r="E13330" t="inlineStr">
        <is>
          <t>GISLAVED</t>
        </is>
      </c>
      <c r="G13330" t="n">
        <v>1.9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29482-2025</t>
        </is>
      </c>
      <c r="B13331" s="1" t="n">
        <v>45824</v>
      </c>
      <c r="C13331" s="1" t="n">
        <v>45828</v>
      </c>
      <c r="D13331" t="inlineStr">
        <is>
          <t>JÖNKÖPINGS LÄN</t>
        </is>
      </c>
      <c r="E13331" t="inlineStr">
        <is>
          <t>VETLANDA</t>
        </is>
      </c>
      <c r="G13331" t="n">
        <v>1.2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29496-2025</t>
        </is>
      </c>
      <c r="B13332" s="1" t="n">
        <v>45825</v>
      </c>
      <c r="C13332" s="1" t="n">
        <v>45828</v>
      </c>
      <c r="D13332" t="inlineStr">
        <is>
          <t>JÖNKÖPINGS LÄN</t>
        </is>
      </c>
      <c r="E13332" t="inlineStr">
        <is>
          <t>SÄVSJÖ</t>
        </is>
      </c>
      <c r="G13332" t="n">
        <v>2.7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29483-2025</t>
        </is>
      </c>
      <c r="B13333" s="1" t="n">
        <v>45824</v>
      </c>
      <c r="C13333" s="1" t="n">
        <v>45828</v>
      </c>
      <c r="D13333" t="inlineStr">
        <is>
          <t>JÖNKÖPINGS LÄN</t>
        </is>
      </c>
      <c r="E13333" t="inlineStr">
        <is>
          <t>EKSJÖ</t>
        </is>
      </c>
      <c r="G13333" t="n">
        <v>2.5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29487-2025</t>
        </is>
      </c>
      <c r="B13334" s="1" t="n">
        <v>45824</v>
      </c>
      <c r="C13334" s="1" t="n">
        <v>45828</v>
      </c>
      <c r="D13334" t="inlineStr">
        <is>
          <t>JÖNKÖPINGS LÄN</t>
        </is>
      </c>
      <c r="E13334" t="inlineStr">
        <is>
          <t>VETLANDA</t>
        </is>
      </c>
      <c r="G13334" t="n">
        <v>1.6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29270-2025</t>
        </is>
      </c>
      <c r="B13335" s="1" t="n">
        <v>45824</v>
      </c>
      <c r="C13335" s="1" t="n">
        <v>45828</v>
      </c>
      <c r="D13335" t="inlineStr">
        <is>
          <t>JÖNKÖPINGS LÄN</t>
        </is>
      </c>
      <c r="E13335" t="inlineStr">
        <is>
          <t>VETLANDA</t>
        </is>
      </c>
      <c r="G13335" t="n">
        <v>0.7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29453-2025</t>
        </is>
      </c>
      <c r="B13336" s="1" t="n">
        <v>45824</v>
      </c>
      <c r="C13336" s="1" t="n">
        <v>45828</v>
      </c>
      <c r="D13336" t="inlineStr">
        <is>
          <t>JÖNKÖPINGS LÄN</t>
        </is>
      </c>
      <c r="E13336" t="inlineStr">
        <is>
          <t>VETLANDA</t>
        </is>
      </c>
      <c r="G13336" t="n">
        <v>1.7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29497-2025</t>
        </is>
      </c>
      <c r="B13337" s="1" t="n">
        <v>45825</v>
      </c>
      <c r="C13337" s="1" t="n">
        <v>45828</v>
      </c>
      <c r="D13337" t="inlineStr">
        <is>
          <t>JÖNKÖPINGS LÄN</t>
        </is>
      </c>
      <c r="E13337" t="inlineStr">
        <is>
          <t>SÄVSJÖ</t>
        </is>
      </c>
      <c r="G13337" t="n">
        <v>1.5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29499-2025</t>
        </is>
      </c>
      <c r="B13338" s="1" t="n">
        <v>45825</v>
      </c>
      <c r="C13338" s="1" t="n">
        <v>45828</v>
      </c>
      <c r="D13338" t="inlineStr">
        <is>
          <t>JÖNKÖPINGS LÄN</t>
        </is>
      </c>
      <c r="E13338" t="inlineStr">
        <is>
          <t>SÄVSJÖ</t>
        </is>
      </c>
      <c r="G13338" t="n">
        <v>3.4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29343-2025</t>
        </is>
      </c>
      <c r="B13339" s="1" t="n">
        <v>45824</v>
      </c>
      <c r="C13339" s="1" t="n">
        <v>45828</v>
      </c>
      <c r="D13339" t="inlineStr">
        <is>
          <t>JÖNKÖPINGS LÄN</t>
        </is>
      </c>
      <c r="E13339" t="inlineStr">
        <is>
          <t>VÄRNAMO</t>
        </is>
      </c>
      <c r="G13339" t="n">
        <v>5.5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29386-2025</t>
        </is>
      </c>
      <c r="B13340" s="1" t="n">
        <v>45824</v>
      </c>
      <c r="C13340" s="1" t="n">
        <v>45828</v>
      </c>
      <c r="D13340" t="inlineStr">
        <is>
          <t>JÖNKÖPINGS LÄN</t>
        </is>
      </c>
      <c r="E13340" t="inlineStr">
        <is>
          <t>SÄVSJÖ</t>
        </is>
      </c>
      <c r="G13340" t="n">
        <v>1.6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29469-2025</t>
        </is>
      </c>
      <c r="B13341" s="1" t="n">
        <v>45824</v>
      </c>
      <c r="C13341" s="1" t="n">
        <v>45828</v>
      </c>
      <c r="D13341" t="inlineStr">
        <is>
          <t>JÖNKÖPINGS LÄN</t>
        </is>
      </c>
      <c r="E13341" t="inlineStr">
        <is>
          <t>ANEBY</t>
        </is>
      </c>
      <c r="F13341" t="inlineStr">
        <is>
          <t>Övriga Aktiebolag</t>
        </is>
      </c>
      <c r="G13341" t="n">
        <v>16.8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29215-2025</t>
        </is>
      </c>
      <c r="B13342" s="1" t="n">
        <v>45824</v>
      </c>
      <c r="C13342" s="1" t="n">
        <v>45828</v>
      </c>
      <c r="D13342" t="inlineStr">
        <is>
          <t>JÖNKÖPINGS LÄN</t>
        </is>
      </c>
      <c r="E13342" t="inlineStr">
        <is>
          <t>NÄSSJÖ</t>
        </is>
      </c>
      <c r="G13342" t="n">
        <v>0.4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29218-2025</t>
        </is>
      </c>
      <c r="B13343" s="1" t="n">
        <v>45824</v>
      </c>
      <c r="C13343" s="1" t="n">
        <v>45828</v>
      </c>
      <c r="D13343" t="inlineStr">
        <is>
          <t>JÖNKÖPINGS LÄN</t>
        </is>
      </c>
      <c r="E13343" t="inlineStr">
        <is>
          <t>GISLAVED</t>
        </is>
      </c>
      <c r="G13343" t="n">
        <v>1.8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29391-2025</t>
        </is>
      </c>
      <c r="B13344" s="1" t="n">
        <v>45824</v>
      </c>
      <c r="C13344" s="1" t="n">
        <v>45828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6.4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29340-2025</t>
        </is>
      </c>
      <c r="B13345" s="1" t="n">
        <v>45824</v>
      </c>
      <c r="C13345" s="1" t="n">
        <v>45828</v>
      </c>
      <c r="D13345" t="inlineStr">
        <is>
          <t>JÖNKÖPINGS LÄN</t>
        </is>
      </c>
      <c r="E13345" t="inlineStr">
        <is>
          <t>GISLAVED</t>
        </is>
      </c>
      <c r="G13345" t="n">
        <v>1.8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29242-2025</t>
        </is>
      </c>
      <c r="B13346" s="1" t="n">
        <v>45824</v>
      </c>
      <c r="C13346" s="1" t="n">
        <v>45828</v>
      </c>
      <c r="D13346" t="inlineStr">
        <is>
          <t>JÖNKÖPINGS LÄN</t>
        </is>
      </c>
      <c r="E13346" t="inlineStr">
        <is>
          <t>NÄSSJÖ</t>
        </is>
      </c>
      <c r="G13346" t="n">
        <v>1.5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29688-2025</t>
        </is>
      </c>
      <c r="B13347" s="1" t="n">
        <v>45825</v>
      </c>
      <c r="C13347" s="1" t="n">
        <v>45828</v>
      </c>
      <c r="D13347" t="inlineStr">
        <is>
          <t>JÖNKÖPINGS LÄN</t>
        </is>
      </c>
      <c r="E13347" t="inlineStr">
        <is>
          <t>GISLAVED</t>
        </is>
      </c>
      <c r="G13347" t="n">
        <v>4.4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29685-2025</t>
        </is>
      </c>
      <c r="B13348" s="1" t="n">
        <v>45825</v>
      </c>
      <c r="C13348" s="1" t="n">
        <v>45828</v>
      </c>
      <c r="D13348" t="inlineStr">
        <is>
          <t>JÖNKÖPINGS LÄN</t>
        </is>
      </c>
      <c r="E13348" t="inlineStr">
        <is>
          <t>VÄRNAMO</t>
        </is>
      </c>
      <c r="G13348" t="n">
        <v>3.5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29715-2025</t>
        </is>
      </c>
      <c r="B13349" s="1" t="n">
        <v>45825</v>
      </c>
      <c r="C13349" s="1" t="n">
        <v>45828</v>
      </c>
      <c r="D13349" t="inlineStr">
        <is>
          <t>JÖNKÖPINGS LÄN</t>
        </is>
      </c>
      <c r="E13349" t="inlineStr">
        <is>
          <t>GISLAVED</t>
        </is>
      </c>
      <c r="G13349" t="n">
        <v>2.3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29717-2025</t>
        </is>
      </c>
      <c r="B13350" s="1" t="n">
        <v>45825</v>
      </c>
      <c r="C13350" s="1" t="n">
        <v>45828</v>
      </c>
      <c r="D13350" t="inlineStr">
        <is>
          <t>JÖNKÖPINGS LÄN</t>
        </is>
      </c>
      <c r="E13350" t="inlineStr">
        <is>
          <t>GISLAVED</t>
        </is>
      </c>
      <c r="G13350" t="n">
        <v>1.3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29732-2025</t>
        </is>
      </c>
      <c r="B13351" s="1" t="n">
        <v>45825</v>
      </c>
      <c r="C13351" s="1" t="n">
        <v>45828</v>
      </c>
      <c r="D13351" t="inlineStr">
        <is>
          <t>JÖNKÖPINGS LÄN</t>
        </is>
      </c>
      <c r="E13351" t="inlineStr">
        <is>
          <t>VÄRNAMO</t>
        </is>
      </c>
      <c r="G13351" t="n">
        <v>5.1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29657-2025</t>
        </is>
      </c>
      <c r="B13352" s="1" t="n">
        <v>45825</v>
      </c>
      <c r="C13352" s="1" t="n">
        <v>45828</v>
      </c>
      <c r="D13352" t="inlineStr">
        <is>
          <t>JÖNKÖPINGS LÄN</t>
        </is>
      </c>
      <c r="E13352" t="inlineStr">
        <is>
          <t>EKSJÖ</t>
        </is>
      </c>
      <c r="G13352" t="n">
        <v>0.6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29658-2025</t>
        </is>
      </c>
      <c r="B13353" s="1" t="n">
        <v>45825</v>
      </c>
      <c r="C13353" s="1" t="n">
        <v>45828</v>
      </c>
      <c r="D13353" t="inlineStr">
        <is>
          <t>JÖNKÖPINGS LÄN</t>
        </is>
      </c>
      <c r="E13353" t="inlineStr">
        <is>
          <t>VÄRNAMO</t>
        </is>
      </c>
      <c r="G13353" t="n">
        <v>2.3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29653-2025</t>
        </is>
      </c>
      <c r="B13354" s="1" t="n">
        <v>45825</v>
      </c>
      <c r="C13354" s="1" t="n">
        <v>45828</v>
      </c>
      <c r="D13354" t="inlineStr">
        <is>
          <t>JÖNKÖPINGS LÄN</t>
        </is>
      </c>
      <c r="E13354" t="inlineStr">
        <is>
          <t>EKSJÖ</t>
        </is>
      </c>
      <c r="G13354" t="n">
        <v>1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29656-2025</t>
        </is>
      </c>
      <c r="B13355" s="1" t="n">
        <v>45825</v>
      </c>
      <c r="C13355" s="1" t="n">
        <v>45828</v>
      </c>
      <c r="D13355" t="inlineStr">
        <is>
          <t>JÖNKÖPINGS LÄN</t>
        </is>
      </c>
      <c r="E13355" t="inlineStr">
        <is>
          <t>EKSJÖ</t>
        </is>
      </c>
      <c r="G13355" t="n">
        <v>1.5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29652-2025</t>
        </is>
      </c>
      <c r="B13356" s="1" t="n">
        <v>45825</v>
      </c>
      <c r="C13356" s="1" t="n">
        <v>45828</v>
      </c>
      <c r="D13356" t="inlineStr">
        <is>
          <t>JÖNKÖPINGS LÄN</t>
        </is>
      </c>
      <c r="E13356" t="inlineStr">
        <is>
          <t>EKSJÖ</t>
        </is>
      </c>
      <c r="G13356" t="n">
        <v>0.6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29639-2025</t>
        </is>
      </c>
      <c r="B13357" s="1" t="n">
        <v>45825</v>
      </c>
      <c r="C13357" s="1" t="n">
        <v>45828</v>
      </c>
      <c r="D13357" t="inlineStr">
        <is>
          <t>JÖNKÖPINGS LÄN</t>
        </is>
      </c>
      <c r="E13357" t="inlineStr">
        <is>
          <t>VAGGERYD</t>
        </is>
      </c>
      <c r="G13357" t="n">
        <v>0.7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29751-2025</t>
        </is>
      </c>
      <c r="B13358" s="1" t="n">
        <v>45825</v>
      </c>
      <c r="C13358" s="1" t="n">
        <v>45828</v>
      </c>
      <c r="D13358" t="inlineStr">
        <is>
          <t>JÖNKÖPINGS LÄN</t>
        </is>
      </c>
      <c r="E13358" t="inlineStr">
        <is>
          <t>VETLANDA</t>
        </is>
      </c>
      <c r="G13358" t="n">
        <v>2.4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29683-2025</t>
        </is>
      </c>
      <c r="B13359" s="1" t="n">
        <v>45825</v>
      </c>
      <c r="C13359" s="1" t="n">
        <v>45828</v>
      </c>
      <c r="D13359" t="inlineStr">
        <is>
          <t>JÖNKÖPINGS LÄN</t>
        </is>
      </c>
      <c r="E13359" t="inlineStr">
        <is>
          <t>VÄRNAMO</t>
        </is>
      </c>
      <c r="G13359" t="n">
        <v>1.1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29577-2025</t>
        </is>
      </c>
      <c r="B13360" s="1" t="n">
        <v>45825</v>
      </c>
      <c r="C13360" s="1" t="n">
        <v>45828</v>
      </c>
      <c r="D13360" t="inlineStr">
        <is>
          <t>JÖNKÖPINGS LÄN</t>
        </is>
      </c>
      <c r="E13360" t="inlineStr">
        <is>
          <t>VETLANDA</t>
        </is>
      </c>
      <c r="G13360" t="n">
        <v>1.4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29716-2025</t>
        </is>
      </c>
      <c r="B13361" s="1" t="n">
        <v>45825</v>
      </c>
      <c r="C13361" s="1" t="n">
        <v>45828</v>
      </c>
      <c r="D13361" t="inlineStr">
        <is>
          <t>JÖNKÖPINGS LÄN</t>
        </is>
      </c>
      <c r="E13361" t="inlineStr">
        <is>
          <t>SÄVSJÖ</t>
        </is>
      </c>
      <c r="G13361" t="n">
        <v>3.5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29720-2025</t>
        </is>
      </c>
      <c r="B13362" s="1" t="n">
        <v>45825</v>
      </c>
      <c r="C13362" s="1" t="n">
        <v>45828</v>
      </c>
      <c r="D13362" t="inlineStr">
        <is>
          <t>JÖNKÖPINGS LÄN</t>
        </is>
      </c>
      <c r="E13362" t="inlineStr">
        <is>
          <t>GISLAVED</t>
        </is>
      </c>
      <c r="G13362" t="n">
        <v>0.6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29767-2025</t>
        </is>
      </c>
      <c r="B13363" s="1" t="n">
        <v>45825</v>
      </c>
      <c r="C13363" s="1" t="n">
        <v>45828</v>
      </c>
      <c r="D13363" t="inlineStr">
        <is>
          <t>JÖNKÖPINGS LÄN</t>
        </is>
      </c>
      <c r="E13363" t="inlineStr">
        <is>
          <t>EKSJÖ</t>
        </is>
      </c>
      <c r="G13363" t="n">
        <v>0.8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30137-2025</t>
        </is>
      </c>
      <c r="B13364" s="1" t="n">
        <v>45826</v>
      </c>
      <c r="C13364" s="1" t="n">
        <v>45828</v>
      </c>
      <c r="D13364" t="inlineStr">
        <is>
          <t>JÖNKÖPINGS LÄN</t>
        </is>
      </c>
      <c r="E13364" t="inlineStr">
        <is>
          <t>EKSJÖ</t>
        </is>
      </c>
      <c r="G13364" t="n">
        <v>2.2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29842-2025</t>
        </is>
      </c>
      <c r="B13365" s="1" t="n">
        <v>45826</v>
      </c>
      <c r="C13365" s="1" t="n">
        <v>45828</v>
      </c>
      <c r="D13365" t="inlineStr">
        <is>
          <t>JÖNKÖPINGS LÄN</t>
        </is>
      </c>
      <c r="E13365" t="inlineStr">
        <is>
          <t>GISLAVED</t>
        </is>
      </c>
      <c r="G13365" t="n">
        <v>2.5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30114-2025</t>
        </is>
      </c>
      <c r="B13366" s="1" t="n">
        <v>45826</v>
      </c>
      <c r="C13366" s="1" t="n">
        <v>45828</v>
      </c>
      <c r="D13366" t="inlineStr">
        <is>
          <t>JÖNKÖPINGS LÄN</t>
        </is>
      </c>
      <c r="E13366" t="inlineStr">
        <is>
          <t>VÄRNAMO</t>
        </is>
      </c>
      <c r="G13366" t="n">
        <v>0.8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30119-2025</t>
        </is>
      </c>
      <c r="B13367" s="1" t="n">
        <v>45826</v>
      </c>
      <c r="C13367" s="1" t="n">
        <v>45828</v>
      </c>
      <c r="D13367" t="inlineStr">
        <is>
          <t>JÖNKÖPINGS LÄN</t>
        </is>
      </c>
      <c r="E13367" t="inlineStr">
        <is>
          <t>VÄRNAMO</t>
        </is>
      </c>
      <c r="G13367" t="n">
        <v>1.8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30040-2025</t>
        </is>
      </c>
      <c r="B13368" s="1" t="n">
        <v>45826</v>
      </c>
      <c r="C13368" s="1" t="n">
        <v>45828</v>
      </c>
      <c r="D13368" t="inlineStr">
        <is>
          <t>JÖNKÖPINGS LÄN</t>
        </is>
      </c>
      <c r="E13368" t="inlineStr">
        <is>
          <t>VETLANDA</t>
        </is>
      </c>
      <c r="G13368" t="n">
        <v>3.7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30042-2025</t>
        </is>
      </c>
      <c r="B13369" s="1" t="n">
        <v>45826</v>
      </c>
      <c r="C13369" s="1" t="n">
        <v>45828</v>
      </c>
      <c r="D13369" t="inlineStr">
        <is>
          <t>JÖNKÖPINGS LÄN</t>
        </is>
      </c>
      <c r="E13369" t="inlineStr">
        <is>
          <t>VETLANDA</t>
        </is>
      </c>
      <c r="G13369" t="n">
        <v>2.2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30045-2025</t>
        </is>
      </c>
      <c r="B13370" s="1" t="n">
        <v>45826</v>
      </c>
      <c r="C13370" s="1" t="n">
        <v>45828</v>
      </c>
      <c r="D13370" t="inlineStr">
        <is>
          <t>JÖNKÖPINGS LÄN</t>
        </is>
      </c>
      <c r="E13370" t="inlineStr">
        <is>
          <t>VETLANDA</t>
        </is>
      </c>
      <c r="G13370" t="n">
        <v>0.8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30046-2025</t>
        </is>
      </c>
      <c r="B13371" s="1" t="n">
        <v>45826</v>
      </c>
      <c r="C13371" s="1" t="n">
        <v>45828</v>
      </c>
      <c r="D13371" t="inlineStr">
        <is>
          <t>JÖNKÖPINGS LÄN</t>
        </is>
      </c>
      <c r="E13371" t="inlineStr">
        <is>
          <t>VETLANDA</t>
        </is>
      </c>
      <c r="G13371" t="n">
        <v>1.2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30115-2025</t>
        </is>
      </c>
      <c r="B13372" s="1" t="n">
        <v>45826</v>
      </c>
      <c r="C13372" s="1" t="n">
        <v>45828</v>
      </c>
      <c r="D13372" t="inlineStr">
        <is>
          <t>JÖNKÖPINGS LÄN</t>
        </is>
      </c>
      <c r="E13372" t="inlineStr">
        <is>
          <t>VETLANDA</t>
        </is>
      </c>
      <c r="G13372" t="n">
        <v>0.8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30435-2025</t>
        </is>
      </c>
      <c r="B13373" s="1" t="n">
        <v>45827</v>
      </c>
      <c r="C13373" s="1" t="n">
        <v>45828</v>
      </c>
      <c r="D13373" t="inlineStr">
        <is>
          <t>JÖNKÖPINGS LÄN</t>
        </is>
      </c>
      <c r="E13373" t="inlineStr">
        <is>
          <t>ANEBY</t>
        </is>
      </c>
      <c r="G13373" t="n">
        <v>3.8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30370-2025</t>
        </is>
      </c>
      <c r="B13374" s="1" t="n">
        <v>45827</v>
      </c>
      <c r="C13374" s="1" t="n">
        <v>45828</v>
      </c>
      <c r="D13374" t="inlineStr">
        <is>
          <t>JÖNKÖPINGS LÄN</t>
        </is>
      </c>
      <c r="E13374" t="inlineStr">
        <is>
          <t>NÄSSJÖ</t>
        </is>
      </c>
      <c r="G13374" t="n">
        <v>1.8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30375-2025</t>
        </is>
      </c>
      <c r="B13375" s="1" t="n">
        <v>45827</v>
      </c>
      <c r="C13375" s="1" t="n">
        <v>45828</v>
      </c>
      <c r="D13375" t="inlineStr">
        <is>
          <t>JÖNKÖPINGS LÄN</t>
        </is>
      </c>
      <c r="E13375" t="inlineStr">
        <is>
          <t>VÄRNAMO</t>
        </is>
      </c>
      <c r="F13375" t="inlineStr">
        <is>
          <t>Sveaskog</t>
        </is>
      </c>
      <c r="G13375" t="n">
        <v>5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30420-2025</t>
        </is>
      </c>
      <c r="B13376" s="1" t="n">
        <v>45827</v>
      </c>
      <c r="C13376" s="1" t="n">
        <v>45828</v>
      </c>
      <c r="D13376" t="inlineStr">
        <is>
          <t>JÖNKÖPINGS LÄN</t>
        </is>
      </c>
      <c r="E13376" t="inlineStr">
        <is>
          <t>EKSJÖ</t>
        </is>
      </c>
      <c r="G13376" t="n">
        <v>1.2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30421-2025</t>
        </is>
      </c>
      <c r="B13377" s="1" t="n">
        <v>45827</v>
      </c>
      <c r="C13377" s="1" t="n">
        <v>45828</v>
      </c>
      <c r="D13377" t="inlineStr">
        <is>
          <t>JÖNKÖPINGS LÄN</t>
        </is>
      </c>
      <c r="E13377" t="inlineStr">
        <is>
          <t>EKSJÖ</t>
        </is>
      </c>
      <c r="G13377" t="n">
        <v>0.5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30212-2025</t>
        </is>
      </c>
      <c r="B13378" s="1" t="n">
        <v>45827</v>
      </c>
      <c r="C13378" s="1" t="n">
        <v>45828</v>
      </c>
      <c r="D13378" t="inlineStr">
        <is>
          <t>JÖNKÖPINGS LÄN</t>
        </is>
      </c>
      <c r="E13378" t="inlineStr">
        <is>
          <t>GISLAVED</t>
        </is>
      </c>
      <c r="G13378" t="n">
        <v>0.5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30412-2025</t>
        </is>
      </c>
      <c r="B13379" s="1" t="n">
        <v>45827</v>
      </c>
      <c r="C13379" s="1" t="n">
        <v>45828</v>
      </c>
      <c r="D13379" t="inlineStr">
        <is>
          <t>JÖNKÖPINGS LÄN</t>
        </is>
      </c>
      <c r="E13379" t="inlineStr">
        <is>
          <t>VÄRNAMO</t>
        </is>
      </c>
      <c r="G13379" t="n">
        <v>3.5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30415-2025</t>
        </is>
      </c>
      <c r="B13380" s="1" t="n">
        <v>45827</v>
      </c>
      <c r="C13380" s="1" t="n">
        <v>45828</v>
      </c>
      <c r="D13380" t="inlineStr">
        <is>
          <t>JÖNKÖPINGS LÄN</t>
        </is>
      </c>
      <c r="E13380" t="inlineStr">
        <is>
          <t>VETLANDA</t>
        </is>
      </c>
      <c r="G13380" t="n">
        <v>2.4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30397-2025</t>
        </is>
      </c>
      <c r="B13381" s="1" t="n">
        <v>45827</v>
      </c>
      <c r="C13381" s="1" t="n">
        <v>45828</v>
      </c>
      <c r="D13381" t="inlineStr">
        <is>
          <t>JÖNKÖPINGS LÄN</t>
        </is>
      </c>
      <c r="E13381" t="inlineStr">
        <is>
          <t>TRANÅS</t>
        </is>
      </c>
      <c r="G13381" t="n">
        <v>2.3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30186-2025</t>
        </is>
      </c>
      <c r="B13382" s="1" t="n">
        <v>45827</v>
      </c>
      <c r="C13382" s="1" t="n">
        <v>45828</v>
      </c>
      <c r="D13382" t="inlineStr">
        <is>
          <t>JÖNKÖPINGS LÄN</t>
        </is>
      </c>
      <c r="E13382" t="inlineStr">
        <is>
          <t>NÄSSJÖ</t>
        </is>
      </c>
      <c r="G13382" t="n">
        <v>2.1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30206-2025</t>
        </is>
      </c>
      <c r="B13383" s="1" t="n">
        <v>45827</v>
      </c>
      <c r="C13383" s="1" t="n">
        <v>45828</v>
      </c>
      <c r="D13383" t="inlineStr">
        <is>
          <t>JÖNKÖPINGS LÄN</t>
        </is>
      </c>
      <c r="E13383" t="inlineStr">
        <is>
          <t>GISLAVED</t>
        </is>
      </c>
      <c r="G13383" t="n">
        <v>9.6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30289-2025</t>
        </is>
      </c>
      <c r="B13384" s="1" t="n">
        <v>45827</v>
      </c>
      <c r="C13384" s="1" t="n">
        <v>45828</v>
      </c>
      <c r="D13384" t="inlineStr">
        <is>
          <t>JÖNKÖPINGS LÄN</t>
        </is>
      </c>
      <c r="E13384" t="inlineStr">
        <is>
          <t>GNOSJÖ</t>
        </is>
      </c>
      <c r="G13384" t="n">
        <v>2.5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30272-2025</t>
        </is>
      </c>
      <c r="B13385" s="1" t="n">
        <v>45827</v>
      </c>
      <c r="C13385" s="1" t="n">
        <v>45828</v>
      </c>
      <c r="D13385" t="inlineStr">
        <is>
          <t>JÖNKÖPINGS LÄN</t>
        </is>
      </c>
      <c r="E13385" t="inlineStr">
        <is>
          <t>HABO</t>
        </is>
      </c>
      <c r="G13385" t="n">
        <v>0.9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30274-2025</t>
        </is>
      </c>
      <c r="B13386" s="1" t="n">
        <v>45827</v>
      </c>
      <c r="C13386" s="1" t="n">
        <v>45828</v>
      </c>
      <c r="D13386" t="inlineStr">
        <is>
          <t>JÖNKÖPINGS LÄN</t>
        </is>
      </c>
      <c r="E13386" t="inlineStr">
        <is>
          <t>HABO</t>
        </is>
      </c>
      <c r="G13386" t="n">
        <v>0.6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30318-2025</t>
        </is>
      </c>
      <c r="B13387" s="1" t="n">
        <v>45827</v>
      </c>
      <c r="C13387" s="1" t="n">
        <v>45828</v>
      </c>
      <c r="D13387" t="inlineStr">
        <is>
          <t>JÖNKÖPINGS LÄN</t>
        </is>
      </c>
      <c r="E13387" t="inlineStr">
        <is>
          <t>VÄRNAMO</t>
        </is>
      </c>
      <c r="G13387" t="n">
        <v>1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30366-2025</t>
        </is>
      </c>
      <c r="B13388" s="1" t="n">
        <v>45827</v>
      </c>
      <c r="C13388" s="1" t="n">
        <v>45828</v>
      </c>
      <c r="D13388" t="inlineStr">
        <is>
          <t>JÖNKÖPINGS LÄN</t>
        </is>
      </c>
      <c r="E13388" t="inlineStr">
        <is>
          <t>VETLANDA</t>
        </is>
      </c>
      <c r="G13388" t="n">
        <v>2.4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30365-2025</t>
        </is>
      </c>
      <c r="B13389" s="1" t="n">
        <v>45827</v>
      </c>
      <c r="C13389" s="1" t="n">
        <v>45828</v>
      </c>
      <c r="D13389" t="inlineStr">
        <is>
          <t>JÖNKÖPINGS LÄN</t>
        </is>
      </c>
      <c r="E13389" t="inlineStr">
        <is>
          <t>VETLANDA</t>
        </is>
      </c>
      <c r="G13389" t="n">
        <v>6.9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30368-2025</t>
        </is>
      </c>
      <c r="B13390" s="1" t="n">
        <v>45827</v>
      </c>
      <c r="C13390" s="1" t="n">
        <v>45828</v>
      </c>
      <c r="D13390" t="inlineStr">
        <is>
          <t>JÖNKÖPINGS LÄN</t>
        </is>
      </c>
      <c r="E13390" t="inlineStr">
        <is>
          <t>VETLANDA</t>
        </is>
      </c>
      <c r="G13390" t="n">
        <v>0.7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>
      <c r="A13391" t="inlineStr">
        <is>
          <t>A 30345-2025</t>
        </is>
      </c>
      <c r="B13391" s="1" t="n">
        <v>45827</v>
      </c>
      <c r="C13391" s="1" t="n">
        <v>45828</v>
      </c>
      <c r="D13391" t="inlineStr">
        <is>
          <t>JÖNKÖPINGS LÄN</t>
        </is>
      </c>
      <c r="E13391" t="inlineStr">
        <is>
          <t>VÄRNAMO</t>
        </is>
      </c>
      <c r="G13391" t="n">
        <v>4.4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2025-06-20T19:19:22Z</dcterms:created>
  <dcterms:modified xmlns:dcterms="http://purl.org/dc/terms/" xmlns:xsi="http://www.w3.org/2001/XMLSchema-instance" xsi:type="dcterms:W3CDTF">2025-06-20T19:19:34Z</dcterms:modified>
</cp:coreProperties>
</file>