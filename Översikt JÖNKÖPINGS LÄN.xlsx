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45799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45799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45799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45799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45799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45799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45799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45799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45799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45799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45799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45799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45799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45799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45799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45799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45799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45799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45799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45799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45799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45799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45799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45799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45799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45799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45799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45799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45799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45799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45799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45799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45799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45799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45799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45799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45799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45799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45799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45799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45799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45799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45799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45799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45799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45799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45799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45799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45799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45799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45799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45799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45799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45799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45799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45799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45799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45799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45799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45799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45799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45799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45799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45799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45799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45799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45799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45799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45799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45799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45799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45799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45799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45799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45799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45799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45799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45799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45799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45799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45799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45799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45799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45799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45799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45799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45799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45799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45799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45799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45799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45799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45799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45799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45799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45799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45799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45799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45799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45799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45799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45799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45799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45799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45799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45799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45799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45799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45799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45799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45799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45799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45799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45799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45799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50033-2024</t>
        </is>
      </c>
      <c r="B130" s="1" t="n">
        <v>45599</v>
      </c>
      <c r="C130" s="1" t="n">
        <v>45799</v>
      </c>
      <c r="D130" t="inlineStr">
        <is>
          <t>JÖNKÖPINGS LÄN</t>
        </is>
      </c>
      <c r="E130" t="inlineStr">
        <is>
          <t>VETLANDA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1</v>
      </c>
      <c r="N130" t="n">
        <v>0</v>
      </c>
      <c r="O130" t="n">
        <v>3</v>
      </c>
      <c r="P130" t="n">
        <v>2</v>
      </c>
      <c r="Q130" t="n">
        <v>3</v>
      </c>
      <c r="R130" s="2" t="inlineStr">
        <is>
          <t>Skogsalm
Ask
Svinrot</t>
        </is>
      </c>
      <c r="S130">
        <f>HYPERLINK("https://klasma.github.io/Logging_0685/artfynd/A 50033-2024 artfynd.xlsx", "A 50033-2024")</f>
        <v/>
      </c>
      <c r="T130">
        <f>HYPERLINK("https://klasma.github.io/Logging_0685/kartor/A 50033-2024 karta.png", "A 50033-2024")</f>
        <v/>
      </c>
      <c r="V130">
        <f>HYPERLINK("https://klasma.github.io/Logging_0685/klagomål/A 50033-2024 FSC-klagomål.docx", "A 50033-2024")</f>
        <v/>
      </c>
      <c r="W130">
        <f>HYPERLINK("https://klasma.github.io/Logging_0685/klagomålsmail/A 50033-2024 FSC-klagomål mail.docx", "A 50033-2024")</f>
        <v/>
      </c>
      <c r="X130">
        <f>HYPERLINK("https://klasma.github.io/Logging_0685/tillsyn/A 50033-2024 tillsynsbegäran.docx", "A 50033-2024")</f>
        <v/>
      </c>
      <c r="Y130">
        <f>HYPERLINK("https://klasma.github.io/Logging_0685/tillsynsmail/A 50033-2024 tillsynsbegäran mail.docx", "A 50033-2024")</f>
        <v/>
      </c>
    </row>
    <row r="131" ht="15" customHeight="1">
      <c r="A131" t="inlineStr">
        <is>
          <t>A 51176-2024</t>
        </is>
      </c>
      <c r="B131" s="1" t="n">
        <v>45603</v>
      </c>
      <c r="C131" s="1" t="n">
        <v>45799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1</v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Ask
Underviol
Grönvit nattviol</t>
        </is>
      </c>
      <c r="S131">
        <f>HYPERLINK("https://klasma.github.io/Logging_0680/artfynd/A 51176-2024 artfynd.xlsx", "A 51176-2024")</f>
        <v/>
      </c>
      <c r="T131">
        <f>HYPERLINK("https://klasma.github.io/Logging_0680/kartor/A 51176-2024 karta.png", "A 51176-2024")</f>
        <v/>
      </c>
      <c r="V131">
        <f>HYPERLINK("https://klasma.github.io/Logging_0680/klagomål/A 51176-2024 FSC-klagomål.docx", "A 51176-2024")</f>
        <v/>
      </c>
      <c r="W131">
        <f>HYPERLINK("https://klasma.github.io/Logging_0680/klagomålsmail/A 51176-2024 FSC-klagomål mail.docx", "A 51176-2024")</f>
        <v/>
      </c>
      <c r="X131">
        <f>HYPERLINK("https://klasma.github.io/Logging_0680/tillsyn/A 51176-2024 tillsynsbegäran.docx", "A 51176-2024")</f>
        <v/>
      </c>
      <c r="Y131">
        <f>HYPERLINK("https://klasma.github.io/Logging_0680/tillsynsmail/A 51176-2024 tillsynsbegäran mail.docx", "A 51176-2024")</f>
        <v/>
      </c>
    </row>
    <row r="132" ht="15" customHeight="1">
      <c r="A132" t="inlineStr">
        <is>
          <t>A 51492-2024</t>
        </is>
      </c>
      <c r="B132" s="1" t="n">
        <v>45604</v>
      </c>
      <c r="C132" s="1" t="n">
        <v>45799</v>
      </c>
      <c r="D132" t="inlineStr">
        <is>
          <t>JÖNKÖPINGS LÄN</t>
        </is>
      </c>
      <c r="E132" t="inlineStr">
        <is>
          <t>JÖNKÖPING</t>
        </is>
      </c>
      <c r="G132" t="n">
        <v>3.1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Rostfläck
Vanlig padda
Grönvit nattviol</t>
        </is>
      </c>
      <c r="S132">
        <f>HYPERLINK("https://klasma.github.io/Logging_0680/artfynd/A 51492-2024 artfynd.xlsx", "A 51492-2024")</f>
        <v/>
      </c>
      <c r="T132">
        <f>HYPERLINK("https://klasma.github.io/Logging_0680/kartor/A 51492-2024 karta.png", "A 51492-2024")</f>
        <v/>
      </c>
      <c r="V132">
        <f>HYPERLINK("https://klasma.github.io/Logging_0680/klagomål/A 51492-2024 FSC-klagomål.docx", "A 51492-2024")</f>
        <v/>
      </c>
      <c r="W132">
        <f>HYPERLINK("https://klasma.github.io/Logging_0680/klagomålsmail/A 51492-2024 FSC-klagomål mail.docx", "A 51492-2024")</f>
        <v/>
      </c>
      <c r="X132">
        <f>HYPERLINK("https://klasma.github.io/Logging_0680/tillsyn/A 51492-2024 tillsynsbegäran.docx", "A 51492-2024")</f>
        <v/>
      </c>
      <c r="Y132">
        <f>HYPERLINK("https://klasma.github.io/Logging_0680/tillsynsmail/A 51492-2024 tillsynsbegäran mail.docx", "A 51492-2024")</f>
        <v/>
      </c>
    </row>
    <row r="133" ht="15" customHeight="1">
      <c r="A133" t="inlineStr">
        <is>
          <t>A 19430-2025</t>
        </is>
      </c>
      <c r="B133" s="1" t="n">
        <v>45769</v>
      </c>
      <c r="C133" s="1" t="n">
        <v>45799</v>
      </c>
      <c r="D133" t="inlineStr">
        <is>
          <t>JÖNKÖPINGS LÄN</t>
        </is>
      </c>
      <c r="E133" t="inlineStr">
        <is>
          <t>VETLANDA</t>
        </is>
      </c>
      <c r="F133" t="inlineStr">
        <is>
          <t>Sveaskog</t>
        </is>
      </c>
      <c r="G133" t="n">
        <v>3.5</v>
      </c>
      <c r="H133" t="n">
        <v>0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Lungrot
Vårstarr
Vätteros</t>
        </is>
      </c>
      <c r="S133">
        <f>HYPERLINK("https://klasma.github.io/Logging_060685/artfynd/A 19430-2025 artfynd.xlsx", "A 19430-2025")</f>
        <v/>
      </c>
      <c r="T133">
        <f>HYPERLINK("https://klasma.github.io/Logging_060685/kartor/A 19430-2025 karta.png", "A 19430-2025")</f>
        <v/>
      </c>
      <c r="V133">
        <f>HYPERLINK("https://klasma.github.io/Logging_060685/klagomål/A 19430-2025 FSC-klagomål.docx", "A 19430-2025")</f>
        <v/>
      </c>
      <c r="W133">
        <f>HYPERLINK("https://klasma.github.io/Logging_060685/klagomålsmail/A 19430-2025 FSC-klagomål mail.docx", "A 19430-2025")</f>
        <v/>
      </c>
      <c r="X133">
        <f>HYPERLINK("https://klasma.github.io/Logging_060685/tillsyn/A 19430-2025 tillsynsbegäran.docx", "A 19430-2025")</f>
        <v/>
      </c>
      <c r="Y133">
        <f>HYPERLINK("https://klasma.github.io/Logging_060685/tillsynsmail/A 19430-2025 tillsynsbegäran mail.docx", "A 19430-2025")</f>
        <v/>
      </c>
    </row>
    <row r="134" ht="15" customHeight="1">
      <c r="A134" t="inlineStr">
        <is>
          <t>A 19576-2025</t>
        </is>
      </c>
      <c r="B134" s="1" t="n">
        <v>45770</v>
      </c>
      <c r="C134" s="1" t="n">
        <v>45799</v>
      </c>
      <c r="D134" t="inlineStr">
        <is>
          <t>JÖNKÖPINGS LÄN</t>
        </is>
      </c>
      <c r="E134" t="inlineStr">
        <is>
          <t>GISLAVED</t>
        </is>
      </c>
      <c r="G134" t="n">
        <v>4.6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Loppstarr
Mörk dunört
Revlummer</t>
        </is>
      </c>
      <c r="S134">
        <f>HYPERLINK("https://klasma.github.io/Logging_060662/artfynd/A 19576-2025 artfynd.xlsx", "A 19576-2025")</f>
        <v/>
      </c>
      <c r="T134">
        <f>HYPERLINK("https://klasma.github.io/Logging_060662/kartor/A 19576-2025 karta.png", "A 19576-2025")</f>
        <v/>
      </c>
      <c r="V134">
        <f>HYPERLINK("https://klasma.github.io/Logging_060662/klagomål/A 19576-2025 FSC-klagomål.docx", "A 19576-2025")</f>
        <v/>
      </c>
      <c r="W134">
        <f>HYPERLINK("https://klasma.github.io/Logging_060662/klagomålsmail/A 19576-2025 FSC-klagomål mail.docx", "A 19576-2025")</f>
        <v/>
      </c>
      <c r="X134">
        <f>HYPERLINK("https://klasma.github.io/Logging_060662/tillsyn/A 19576-2025 tillsynsbegäran.docx", "A 19576-2025")</f>
        <v/>
      </c>
      <c r="Y134">
        <f>HYPERLINK("https://klasma.github.io/Logging_060662/tillsynsmail/A 19576-2025 tillsynsbegäran mail.docx", "A 19576-2025")</f>
        <v/>
      </c>
    </row>
    <row r="135" ht="15" customHeight="1">
      <c r="A135" t="inlineStr">
        <is>
          <t>A 18024-2019</t>
        </is>
      </c>
      <c r="B135" s="1" t="n">
        <v>43556</v>
      </c>
      <c r="C135" s="1" t="n">
        <v>45799</v>
      </c>
      <c r="D135" t="inlineStr">
        <is>
          <t>JÖNKÖPINGS LÄN</t>
        </is>
      </c>
      <c r="E135" t="inlineStr">
        <is>
          <t>VETLANDA</t>
        </is>
      </c>
      <c r="G135" t="n">
        <v>4.7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Grönpyrola
Tibast</t>
        </is>
      </c>
      <c r="S135">
        <f>HYPERLINK("https://klasma.github.io/Logging_0685/artfynd/A 18024-2019 artfynd.xlsx", "A 18024-2019")</f>
        <v/>
      </c>
      <c r="T135">
        <f>HYPERLINK("https://klasma.github.io/Logging_0685/kartor/A 18024-2019 karta.png", "A 18024-2019")</f>
        <v/>
      </c>
      <c r="V135">
        <f>HYPERLINK("https://klasma.github.io/Logging_0685/klagomål/A 18024-2019 FSC-klagomål.docx", "A 18024-2019")</f>
        <v/>
      </c>
      <c r="W135">
        <f>HYPERLINK("https://klasma.github.io/Logging_0685/klagomålsmail/A 18024-2019 FSC-klagomål mail.docx", "A 18024-2019")</f>
        <v/>
      </c>
      <c r="X135">
        <f>HYPERLINK("https://klasma.github.io/Logging_0685/tillsyn/A 18024-2019 tillsynsbegäran.docx", "A 18024-2019")</f>
        <v/>
      </c>
      <c r="Y135">
        <f>HYPERLINK("https://klasma.github.io/Logging_0685/tillsynsmail/A 18024-2019 tillsynsbegäran mail.docx", "A 18024-2019")</f>
        <v/>
      </c>
    </row>
    <row r="136" ht="15" customHeight="1">
      <c r="A136" t="inlineStr">
        <is>
          <t>A 25895-2019</t>
        </is>
      </c>
      <c r="B136" s="1" t="n">
        <v>43605</v>
      </c>
      <c r="C136" s="1" t="n">
        <v>45799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6.7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Vedticka</t>
        </is>
      </c>
      <c r="S136">
        <f>HYPERLINK("https://klasma.github.io/Logging_0685/artfynd/A 25895-2019 artfynd.xlsx", "A 25895-2019")</f>
        <v/>
      </c>
      <c r="T136">
        <f>HYPERLINK("https://klasma.github.io/Logging_0685/kartor/A 25895-2019 karta.png", "A 25895-2019")</f>
        <v/>
      </c>
      <c r="U136">
        <f>HYPERLINK("https://klasma.github.io/Logging_0685/knärot/A 25895-2019 karta knärot.png", "A 25895-2019")</f>
        <v/>
      </c>
      <c r="V136">
        <f>HYPERLINK("https://klasma.github.io/Logging_0685/klagomål/A 25895-2019 FSC-klagomål.docx", "A 25895-2019")</f>
        <v/>
      </c>
      <c r="W136">
        <f>HYPERLINK("https://klasma.github.io/Logging_0685/klagomålsmail/A 25895-2019 FSC-klagomål mail.docx", "A 25895-2019")</f>
        <v/>
      </c>
      <c r="X136">
        <f>HYPERLINK("https://klasma.github.io/Logging_0685/tillsyn/A 25895-2019 tillsynsbegäran.docx", "A 25895-2019")</f>
        <v/>
      </c>
      <c r="Y136">
        <f>HYPERLINK("https://klasma.github.io/Logging_0685/tillsynsmail/A 25895-2019 tillsynsbegäran mail.docx", "A 25895-2019")</f>
        <v/>
      </c>
    </row>
    <row r="137" ht="15" customHeight="1">
      <c r="A137" t="inlineStr">
        <is>
          <t>A 26553-2019</t>
        </is>
      </c>
      <c r="B137" s="1" t="n">
        <v>43612</v>
      </c>
      <c r="C137" s="1" t="n">
        <v>45799</v>
      </c>
      <c r="D137" t="inlineStr">
        <is>
          <t>JÖNKÖPINGS LÄN</t>
        </is>
      </c>
      <c r="E137" t="inlineStr">
        <is>
          <t>JÖNKÖPING</t>
        </is>
      </c>
      <c r="G137" t="n">
        <v>4.1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Mattlummer</t>
        </is>
      </c>
      <c r="S137">
        <f>HYPERLINK("https://klasma.github.io/Logging_0680/artfynd/A 26553-2019 artfynd.xlsx", "A 26553-2019")</f>
        <v/>
      </c>
      <c r="T137">
        <f>HYPERLINK("https://klasma.github.io/Logging_0680/kartor/A 26553-2019 karta.png", "A 26553-2019")</f>
        <v/>
      </c>
      <c r="U137">
        <f>HYPERLINK("https://klasma.github.io/Logging_0680/knärot/A 26553-2019 karta knärot.png", "A 26553-2019")</f>
        <v/>
      </c>
      <c r="V137">
        <f>HYPERLINK("https://klasma.github.io/Logging_0680/klagomål/A 26553-2019 FSC-klagomål.docx", "A 26553-2019")</f>
        <v/>
      </c>
      <c r="W137">
        <f>HYPERLINK("https://klasma.github.io/Logging_0680/klagomålsmail/A 26553-2019 FSC-klagomål mail.docx", "A 26553-2019")</f>
        <v/>
      </c>
      <c r="X137">
        <f>HYPERLINK("https://klasma.github.io/Logging_0680/tillsyn/A 26553-2019 tillsynsbegäran.docx", "A 26553-2019")</f>
        <v/>
      </c>
      <c r="Y137">
        <f>HYPERLINK("https://klasma.github.io/Logging_0680/tillsynsmail/A 26553-2019 tillsynsbegäran mail.docx", "A 26553-2019")</f>
        <v/>
      </c>
    </row>
    <row r="138" ht="15" customHeight="1">
      <c r="A138" t="inlineStr">
        <is>
          <t>A 29578-2019</t>
        </is>
      </c>
      <c r="B138" s="1" t="n">
        <v>43627</v>
      </c>
      <c r="C138" s="1" t="n">
        <v>45799</v>
      </c>
      <c r="D138" t="inlineStr">
        <is>
          <t>JÖNKÖPINGS LÄN</t>
        </is>
      </c>
      <c r="E138" t="inlineStr">
        <is>
          <t>VETLANDA</t>
        </is>
      </c>
      <c r="F138" t="inlineStr">
        <is>
          <t>Övriga Aktiebolag</t>
        </is>
      </c>
      <c r="G138" t="n">
        <v>4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Trollfibbla
Gullgröppa</t>
        </is>
      </c>
      <c r="S138">
        <f>HYPERLINK("https://klasma.github.io/Logging_0685/artfynd/A 29578-2019 artfynd.xlsx", "A 29578-2019")</f>
        <v/>
      </c>
      <c r="T138">
        <f>HYPERLINK("https://klasma.github.io/Logging_0685/kartor/A 29578-2019 karta.png", "A 29578-2019")</f>
        <v/>
      </c>
      <c r="U138">
        <f>HYPERLINK("https://klasma.github.io/Logging_0685/knärot/A 29578-2019 karta knärot.png", "A 29578-2019")</f>
        <v/>
      </c>
      <c r="V138">
        <f>HYPERLINK("https://klasma.github.io/Logging_0685/klagomål/A 29578-2019 FSC-klagomål.docx", "A 29578-2019")</f>
        <v/>
      </c>
      <c r="W138">
        <f>HYPERLINK("https://klasma.github.io/Logging_0685/klagomålsmail/A 29578-2019 FSC-klagomål mail.docx", "A 29578-2019")</f>
        <v/>
      </c>
      <c r="X138">
        <f>HYPERLINK("https://klasma.github.io/Logging_0685/tillsyn/A 29578-2019 tillsynsbegäran.docx", "A 29578-2019")</f>
        <v/>
      </c>
      <c r="Y138">
        <f>HYPERLINK("https://klasma.github.io/Logging_0685/tillsynsmail/A 29578-2019 tillsynsbegäran mail.docx", "A 29578-2019")</f>
        <v/>
      </c>
    </row>
    <row r="139" ht="15" customHeight="1">
      <c r="A139" t="inlineStr">
        <is>
          <t>A 32503-2019</t>
        </is>
      </c>
      <c r="B139" s="1" t="n">
        <v>43644</v>
      </c>
      <c r="C139" s="1" t="n">
        <v>45799</v>
      </c>
      <c r="D139" t="inlineStr">
        <is>
          <t>JÖNKÖPINGS LÄN</t>
        </is>
      </c>
      <c r="E139" t="inlineStr">
        <is>
          <t>VETLANDA</t>
        </is>
      </c>
      <c r="G139" t="n">
        <v>1.7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Fjällig taggsvamp s.str.
Skarp dropptaggsvamp</t>
        </is>
      </c>
      <c r="S139">
        <f>HYPERLINK("https://klasma.github.io/Logging_0685/artfynd/A 32503-2019 artfynd.xlsx", "A 32503-2019")</f>
        <v/>
      </c>
      <c r="T139">
        <f>HYPERLINK("https://klasma.github.io/Logging_0685/kartor/A 32503-2019 karta.png", "A 32503-2019")</f>
        <v/>
      </c>
      <c r="V139">
        <f>HYPERLINK("https://klasma.github.io/Logging_0685/klagomål/A 32503-2019 FSC-klagomål.docx", "A 32503-2019")</f>
        <v/>
      </c>
      <c r="W139">
        <f>HYPERLINK("https://klasma.github.io/Logging_0685/klagomålsmail/A 32503-2019 FSC-klagomål mail.docx", "A 32503-2019")</f>
        <v/>
      </c>
      <c r="X139">
        <f>HYPERLINK("https://klasma.github.io/Logging_0685/tillsyn/A 32503-2019 tillsynsbegäran.docx", "A 32503-2019")</f>
        <v/>
      </c>
      <c r="Y139">
        <f>HYPERLINK("https://klasma.github.io/Logging_0685/tillsynsmail/A 32503-2019 tillsynsbegäran mail.docx", "A 32503-2019")</f>
        <v/>
      </c>
    </row>
    <row r="140" ht="15" customHeight="1">
      <c r="A140" t="inlineStr">
        <is>
          <t>A 36871-2019</t>
        </is>
      </c>
      <c r="B140" s="1" t="n">
        <v>43675</v>
      </c>
      <c r="C140" s="1" t="n">
        <v>45799</v>
      </c>
      <c r="D140" t="inlineStr">
        <is>
          <t>JÖNKÖPINGS LÄN</t>
        </is>
      </c>
      <c r="E140" t="inlineStr">
        <is>
          <t>JÖNKÖPING</t>
        </is>
      </c>
      <c r="G140" t="n">
        <v>4.1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Mattlummer</t>
        </is>
      </c>
      <c r="S140">
        <f>HYPERLINK("https://klasma.github.io/Logging_0680/artfynd/A 36871-2019 artfynd.xlsx", "A 36871-2019")</f>
        <v/>
      </c>
      <c r="T140">
        <f>HYPERLINK("https://klasma.github.io/Logging_0680/kartor/A 36871-2019 karta.png", "A 36871-2019")</f>
        <v/>
      </c>
      <c r="U140">
        <f>HYPERLINK("https://klasma.github.io/Logging_0680/knärot/A 36871-2019 karta knärot.png", "A 36871-2019")</f>
        <v/>
      </c>
      <c r="V140">
        <f>HYPERLINK("https://klasma.github.io/Logging_0680/klagomål/A 36871-2019 FSC-klagomål.docx", "A 36871-2019")</f>
        <v/>
      </c>
      <c r="W140">
        <f>HYPERLINK("https://klasma.github.io/Logging_0680/klagomålsmail/A 36871-2019 FSC-klagomål mail.docx", "A 36871-2019")</f>
        <v/>
      </c>
      <c r="X140">
        <f>HYPERLINK("https://klasma.github.io/Logging_0680/tillsyn/A 36871-2019 tillsynsbegäran.docx", "A 36871-2019")</f>
        <v/>
      </c>
      <c r="Y140">
        <f>HYPERLINK("https://klasma.github.io/Logging_0680/tillsynsmail/A 36871-2019 tillsynsbegäran mail.docx", "A 36871-2019")</f>
        <v/>
      </c>
    </row>
    <row r="141" ht="15" customHeight="1">
      <c r="A141" t="inlineStr">
        <is>
          <t>A 36920-2019</t>
        </is>
      </c>
      <c r="B141" s="1" t="n">
        <v>43675</v>
      </c>
      <c r="C141" s="1" t="n">
        <v>45799</v>
      </c>
      <c r="D141" t="inlineStr">
        <is>
          <t>JÖNKÖPINGS LÄN</t>
        </is>
      </c>
      <c r="E141" t="inlineStr">
        <is>
          <t>SÄVSJÖ</t>
        </is>
      </c>
      <c r="F141" t="inlineStr">
        <is>
          <t>Kyrkan</t>
        </is>
      </c>
      <c r="G141" t="n">
        <v>6.2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Björksplintborre
Vanlig padda</t>
        </is>
      </c>
      <c r="S141">
        <f>HYPERLINK("https://klasma.github.io/Logging_0684/artfynd/A 36920-2019 artfynd.xlsx", "A 36920-2019")</f>
        <v/>
      </c>
      <c r="T141">
        <f>HYPERLINK("https://klasma.github.io/Logging_0684/kartor/A 36920-2019 karta.png", "A 36920-2019")</f>
        <v/>
      </c>
      <c r="V141">
        <f>HYPERLINK("https://klasma.github.io/Logging_0684/klagomål/A 36920-2019 FSC-klagomål.docx", "A 36920-2019")</f>
        <v/>
      </c>
      <c r="W141">
        <f>HYPERLINK("https://klasma.github.io/Logging_0684/klagomålsmail/A 36920-2019 FSC-klagomål mail.docx", "A 36920-2019")</f>
        <v/>
      </c>
      <c r="X141">
        <f>HYPERLINK("https://klasma.github.io/Logging_0684/tillsyn/A 36920-2019 tillsynsbegäran.docx", "A 36920-2019")</f>
        <v/>
      </c>
      <c r="Y141">
        <f>HYPERLINK("https://klasma.github.io/Logging_0684/tillsynsmail/A 36920-2019 tillsynsbegäran mail.docx", "A 36920-2019")</f>
        <v/>
      </c>
    </row>
    <row r="142" ht="15" customHeight="1">
      <c r="A142" t="inlineStr">
        <is>
          <t>A 45348-2019</t>
        </is>
      </c>
      <c r="B142" s="1" t="n">
        <v>43714</v>
      </c>
      <c r="C142" s="1" t="n">
        <v>45799</v>
      </c>
      <c r="D142" t="inlineStr">
        <is>
          <t>JÖNKÖPINGS LÄN</t>
        </is>
      </c>
      <c r="E142" t="inlineStr">
        <is>
          <t>VETLANDA</t>
        </is>
      </c>
      <c r="G142" t="n">
        <v>12.2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Ask
Vanlig padda</t>
        </is>
      </c>
      <c r="S142">
        <f>HYPERLINK("https://klasma.github.io/Logging_0685/artfynd/A 45348-2019 artfynd.xlsx", "A 45348-2019")</f>
        <v/>
      </c>
      <c r="T142">
        <f>HYPERLINK("https://klasma.github.io/Logging_0685/kartor/A 45348-2019 karta.png", "A 45348-2019")</f>
        <v/>
      </c>
      <c r="V142">
        <f>HYPERLINK("https://klasma.github.io/Logging_0685/klagomål/A 45348-2019 FSC-klagomål.docx", "A 45348-2019")</f>
        <v/>
      </c>
      <c r="W142">
        <f>HYPERLINK("https://klasma.github.io/Logging_0685/klagomålsmail/A 45348-2019 FSC-klagomål mail.docx", "A 45348-2019")</f>
        <v/>
      </c>
      <c r="X142">
        <f>HYPERLINK("https://klasma.github.io/Logging_0685/tillsyn/A 45348-2019 tillsynsbegäran.docx", "A 45348-2019")</f>
        <v/>
      </c>
      <c r="Y142">
        <f>HYPERLINK("https://klasma.github.io/Logging_0685/tillsynsmail/A 45348-2019 tillsynsbegäran mail.docx", "A 45348-2019")</f>
        <v/>
      </c>
    </row>
    <row r="143" ht="15" customHeight="1">
      <c r="A143" t="inlineStr">
        <is>
          <t>A 47251-2019</t>
        </is>
      </c>
      <c r="B143" s="1" t="n">
        <v>43721</v>
      </c>
      <c r="C143" s="1" t="n">
        <v>45799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1.4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Dropptaggsvamp</t>
        </is>
      </c>
      <c r="S143">
        <f>HYPERLINK("https://klasma.github.io/Logging_0685/artfynd/A 47251-2019 artfynd.xlsx", "A 47251-2019")</f>
        <v/>
      </c>
      <c r="T143">
        <f>HYPERLINK("https://klasma.github.io/Logging_0685/kartor/A 47251-2019 karta.png", "A 47251-2019")</f>
        <v/>
      </c>
      <c r="U143">
        <f>HYPERLINK("https://klasma.github.io/Logging_0685/knärot/A 47251-2019 karta knärot.png", "A 47251-2019")</f>
        <v/>
      </c>
      <c r="V143">
        <f>HYPERLINK("https://klasma.github.io/Logging_0685/klagomål/A 47251-2019 FSC-klagomål.docx", "A 47251-2019")</f>
        <v/>
      </c>
      <c r="W143">
        <f>HYPERLINK("https://klasma.github.io/Logging_0685/klagomålsmail/A 47251-2019 FSC-klagomål mail.docx", "A 47251-2019")</f>
        <v/>
      </c>
      <c r="X143">
        <f>HYPERLINK("https://klasma.github.io/Logging_0685/tillsyn/A 47251-2019 tillsynsbegäran.docx", "A 47251-2019")</f>
        <v/>
      </c>
      <c r="Y143">
        <f>HYPERLINK("https://klasma.github.io/Logging_0685/tillsynsmail/A 47251-2019 tillsynsbegäran mail.docx", "A 47251-2019")</f>
        <v/>
      </c>
    </row>
    <row r="144" ht="15" customHeight="1">
      <c r="A144" t="inlineStr">
        <is>
          <t>A 48284-2019</t>
        </is>
      </c>
      <c r="B144" s="1" t="n">
        <v>43726</v>
      </c>
      <c r="C144" s="1" t="n">
        <v>45799</v>
      </c>
      <c r="D144" t="inlineStr">
        <is>
          <t>JÖNKÖPINGS LÄN</t>
        </is>
      </c>
      <c r="E144" t="inlineStr">
        <is>
          <t>NÄSSJÖ</t>
        </is>
      </c>
      <c r="G144" t="n">
        <v>5.5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Nordfladdermus
Dvärgpipistrell</t>
        </is>
      </c>
      <c r="S144">
        <f>HYPERLINK("https://klasma.github.io/Logging_0682/artfynd/A 48284-2019 artfynd.xlsx", "A 48284-2019")</f>
        <v/>
      </c>
      <c r="T144">
        <f>HYPERLINK("https://klasma.github.io/Logging_0682/kartor/A 48284-2019 karta.png", "A 48284-2019")</f>
        <v/>
      </c>
      <c r="V144">
        <f>HYPERLINK("https://klasma.github.io/Logging_0682/klagomål/A 48284-2019 FSC-klagomål.docx", "A 48284-2019")</f>
        <v/>
      </c>
      <c r="W144">
        <f>HYPERLINK("https://klasma.github.io/Logging_0682/klagomålsmail/A 48284-2019 FSC-klagomål mail.docx", "A 48284-2019")</f>
        <v/>
      </c>
      <c r="X144">
        <f>HYPERLINK("https://klasma.github.io/Logging_0682/tillsyn/A 48284-2019 tillsynsbegäran.docx", "A 48284-2019")</f>
        <v/>
      </c>
      <c r="Y144">
        <f>HYPERLINK("https://klasma.github.io/Logging_0682/tillsynsmail/A 48284-2019 tillsynsbegäran mail.docx", "A 48284-2019")</f>
        <v/>
      </c>
    </row>
    <row r="145" ht="15" customHeight="1">
      <c r="A145" t="inlineStr">
        <is>
          <t>A 48327-2019</t>
        </is>
      </c>
      <c r="B145" s="1" t="n">
        <v>43726</v>
      </c>
      <c r="C145" s="1" t="n">
        <v>45799</v>
      </c>
      <c r="D145" t="inlineStr">
        <is>
          <t>JÖNKÖPINGS LÄN</t>
        </is>
      </c>
      <c r="E145" t="inlineStr">
        <is>
          <t>SÄVSJÖ</t>
        </is>
      </c>
      <c r="G145" t="n">
        <v>1.7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Björksplintborre</t>
        </is>
      </c>
      <c r="S145">
        <f>HYPERLINK("https://klasma.github.io/Logging_0684/artfynd/A 48327-2019 artfynd.xlsx", "A 48327-2019")</f>
        <v/>
      </c>
      <c r="T145">
        <f>HYPERLINK("https://klasma.github.io/Logging_0684/kartor/A 48327-2019 karta.png", "A 48327-2019")</f>
        <v/>
      </c>
      <c r="V145">
        <f>HYPERLINK("https://klasma.github.io/Logging_0684/klagomål/A 48327-2019 FSC-klagomål.docx", "A 48327-2019")</f>
        <v/>
      </c>
      <c r="W145">
        <f>HYPERLINK("https://klasma.github.io/Logging_0684/klagomålsmail/A 48327-2019 FSC-klagomål mail.docx", "A 48327-2019")</f>
        <v/>
      </c>
      <c r="X145">
        <f>HYPERLINK("https://klasma.github.io/Logging_0684/tillsyn/A 48327-2019 tillsynsbegäran.docx", "A 48327-2019")</f>
        <v/>
      </c>
      <c r="Y145">
        <f>HYPERLINK("https://klasma.github.io/Logging_0684/tillsynsmail/A 48327-2019 tillsynsbegäran mail.docx", "A 48327-2019")</f>
        <v/>
      </c>
    </row>
    <row r="146" ht="15" customHeight="1">
      <c r="A146" t="inlineStr">
        <is>
          <t>A 62662-2019</t>
        </is>
      </c>
      <c r="B146" s="1" t="n">
        <v>43789</v>
      </c>
      <c r="C146" s="1" t="n">
        <v>45799</v>
      </c>
      <c r="D146" t="inlineStr">
        <is>
          <t>JÖNKÖPINGS LÄN</t>
        </is>
      </c>
      <c r="E146" t="inlineStr">
        <is>
          <t>EKSJÖ</t>
        </is>
      </c>
      <c r="F146" t="inlineStr">
        <is>
          <t>Kyrkan</t>
        </is>
      </c>
      <c r="G146" t="n">
        <v>0.9</v>
      </c>
      <c r="H146" t="n">
        <v>2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Brunlångöra
Nordfladdermus</t>
        </is>
      </c>
      <c r="S146">
        <f>HYPERLINK("https://klasma.github.io/Logging_0686/artfynd/A 62662-2019 artfynd.xlsx", "A 62662-2019")</f>
        <v/>
      </c>
      <c r="T146">
        <f>HYPERLINK("https://klasma.github.io/Logging_0686/kartor/A 62662-2019 karta.png", "A 62662-2019")</f>
        <v/>
      </c>
      <c r="V146">
        <f>HYPERLINK("https://klasma.github.io/Logging_0686/klagomål/A 62662-2019 FSC-klagomål.docx", "A 62662-2019")</f>
        <v/>
      </c>
      <c r="W146">
        <f>HYPERLINK("https://klasma.github.io/Logging_0686/klagomålsmail/A 62662-2019 FSC-klagomål mail.docx", "A 62662-2019")</f>
        <v/>
      </c>
      <c r="X146">
        <f>HYPERLINK("https://klasma.github.io/Logging_0686/tillsyn/A 62662-2019 tillsynsbegäran.docx", "A 62662-2019")</f>
        <v/>
      </c>
      <c r="Y146">
        <f>HYPERLINK("https://klasma.github.io/Logging_0686/tillsynsmail/A 62662-2019 tillsynsbegäran mail.docx", "A 62662-2019")</f>
        <v/>
      </c>
    </row>
    <row r="147" ht="15" customHeight="1">
      <c r="A147" t="inlineStr">
        <is>
          <t>A 66666-2019</t>
        </is>
      </c>
      <c r="B147" s="1" t="n">
        <v>43809</v>
      </c>
      <c r="C147" s="1" t="n">
        <v>45799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Spindelblomster
Grönvit nattviol</t>
        </is>
      </c>
      <c r="S147">
        <f>HYPERLINK("https://klasma.github.io/Logging_0680/artfynd/A 66666-2019 artfynd.xlsx", "A 66666-2019")</f>
        <v/>
      </c>
      <c r="T147">
        <f>HYPERLINK("https://klasma.github.io/Logging_0680/kartor/A 66666-2019 karta.png", "A 66666-2019")</f>
        <v/>
      </c>
      <c r="V147">
        <f>HYPERLINK("https://klasma.github.io/Logging_0680/klagomål/A 66666-2019 FSC-klagomål.docx", "A 66666-2019")</f>
        <v/>
      </c>
      <c r="W147">
        <f>HYPERLINK("https://klasma.github.io/Logging_0680/klagomålsmail/A 66666-2019 FSC-klagomål mail.docx", "A 66666-2019")</f>
        <v/>
      </c>
      <c r="X147">
        <f>HYPERLINK("https://klasma.github.io/Logging_0680/tillsyn/A 66666-2019 tillsynsbegäran.docx", "A 66666-2019")</f>
        <v/>
      </c>
      <c r="Y147">
        <f>HYPERLINK("https://klasma.github.io/Logging_0680/tillsynsmail/A 66666-2019 tillsynsbegäran mail.docx", "A 66666-2019")</f>
        <v/>
      </c>
    </row>
    <row r="148" ht="15" customHeight="1">
      <c r="A148" t="inlineStr">
        <is>
          <t>A 16952-2020</t>
        </is>
      </c>
      <c r="B148" s="1" t="n">
        <v>43913</v>
      </c>
      <c r="C148" s="1" t="n">
        <v>45799</v>
      </c>
      <c r="D148" t="inlineStr">
        <is>
          <t>JÖNKÖPINGS LÄN</t>
        </is>
      </c>
      <c r="E148" t="inlineStr">
        <is>
          <t>VETLANDA</t>
        </is>
      </c>
      <c r="G148" t="n">
        <v>2.9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Tibast
Revlummer</t>
        </is>
      </c>
      <c r="S148">
        <f>HYPERLINK("https://klasma.github.io/Logging_0685/artfynd/A 16952-2020 artfynd.xlsx", "A 16952-2020")</f>
        <v/>
      </c>
      <c r="T148">
        <f>HYPERLINK("https://klasma.github.io/Logging_0685/kartor/A 16952-2020 karta.png", "A 16952-2020")</f>
        <v/>
      </c>
      <c r="V148">
        <f>HYPERLINK("https://klasma.github.io/Logging_0685/klagomål/A 16952-2020 FSC-klagomål.docx", "A 16952-2020")</f>
        <v/>
      </c>
      <c r="W148">
        <f>HYPERLINK("https://klasma.github.io/Logging_0685/klagomålsmail/A 16952-2020 FSC-klagomål mail.docx", "A 16952-2020")</f>
        <v/>
      </c>
      <c r="X148">
        <f>HYPERLINK("https://klasma.github.io/Logging_0685/tillsyn/A 16952-2020 tillsynsbegäran.docx", "A 16952-2020")</f>
        <v/>
      </c>
      <c r="Y148">
        <f>HYPERLINK("https://klasma.github.io/Logging_0685/tillsynsmail/A 16952-2020 tillsynsbegäran mail.docx", "A 16952-2020")</f>
        <v/>
      </c>
    </row>
    <row r="149" ht="15" customHeight="1">
      <c r="A149" t="inlineStr">
        <is>
          <t>A 16652-2020</t>
        </is>
      </c>
      <c r="B149" s="1" t="n">
        <v>43920</v>
      </c>
      <c r="C149" s="1" t="n">
        <v>45799</v>
      </c>
      <c r="D149" t="inlineStr">
        <is>
          <t>JÖNKÖPINGS LÄN</t>
        </is>
      </c>
      <c r="E149" t="inlineStr">
        <is>
          <t>JÖNKÖPING</t>
        </is>
      </c>
      <c r="G149" t="n">
        <v>12.2</v>
      </c>
      <c r="H149" t="n">
        <v>0</v>
      </c>
      <c r="I149" t="n">
        <v>0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Blylav
Lunglav</t>
        </is>
      </c>
      <c r="S149">
        <f>HYPERLINK("https://klasma.github.io/Logging_0680/artfynd/A 16652-2020 artfynd.xlsx", "A 16652-2020")</f>
        <v/>
      </c>
      <c r="T149">
        <f>HYPERLINK("https://klasma.github.io/Logging_0680/kartor/A 16652-2020 karta.png", "A 16652-2020")</f>
        <v/>
      </c>
      <c r="V149">
        <f>HYPERLINK("https://klasma.github.io/Logging_0680/klagomål/A 16652-2020 FSC-klagomål.docx", "A 16652-2020")</f>
        <v/>
      </c>
      <c r="W149">
        <f>HYPERLINK("https://klasma.github.io/Logging_0680/klagomålsmail/A 16652-2020 FSC-klagomål mail.docx", "A 16652-2020")</f>
        <v/>
      </c>
      <c r="X149">
        <f>HYPERLINK("https://klasma.github.io/Logging_0680/tillsyn/A 16652-2020 tillsynsbegäran.docx", "A 16652-2020")</f>
        <v/>
      </c>
      <c r="Y149">
        <f>HYPERLINK("https://klasma.github.io/Logging_0680/tillsynsmail/A 16652-2020 tillsynsbegäran mail.docx", "A 16652-2020")</f>
        <v/>
      </c>
    </row>
    <row r="150" ht="15" customHeight="1">
      <c r="A150" t="inlineStr">
        <is>
          <t>A 22662-2020</t>
        </is>
      </c>
      <c r="B150" s="1" t="n">
        <v>43963</v>
      </c>
      <c r="C150" s="1" t="n">
        <v>45799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22662-2020 artfynd.xlsx", "A 22662-2020")</f>
        <v/>
      </c>
      <c r="T150">
        <f>HYPERLINK("https://klasma.github.io/Logging_0684/kartor/A 22662-2020 karta.png", "A 22662-2020")</f>
        <v/>
      </c>
      <c r="V150">
        <f>HYPERLINK("https://klasma.github.io/Logging_0684/klagomål/A 22662-2020 FSC-klagomål.docx", "A 22662-2020")</f>
        <v/>
      </c>
      <c r="W150">
        <f>HYPERLINK("https://klasma.github.io/Logging_0684/klagomålsmail/A 22662-2020 FSC-klagomål mail.docx", "A 22662-2020")</f>
        <v/>
      </c>
      <c r="X150">
        <f>HYPERLINK("https://klasma.github.io/Logging_0684/tillsyn/A 22662-2020 tillsynsbegäran.docx", "A 22662-2020")</f>
        <v/>
      </c>
      <c r="Y150">
        <f>HYPERLINK("https://klasma.github.io/Logging_0684/tillsynsmail/A 22662-2020 tillsynsbegäran mail.docx", "A 22662-2020")</f>
        <v/>
      </c>
    </row>
    <row r="151" ht="15" customHeight="1">
      <c r="A151" t="inlineStr">
        <is>
          <t>A 22660-2020</t>
        </is>
      </c>
      <c r="B151" s="1" t="n">
        <v>43963</v>
      </c>
      <c r="C151" s="1" t="n">
        <v>45799</v>
      </c>
      <c r="D151" t="inlineStr">
        <is>
          <t>JÖNKÖPINGS LÄN</t>
        </is>
      </c>
      <c r="E151" t="inlineStr">
        <is>
          <t>SÄVSJÖ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1</v>
      </c>
      <c r="P151" t="n">
        <v>0</v>
      </c>
      <c r="Q151" t="n">
        <v>2</v>
      </c>
      <c r="R151" s="2" t="inlineStr">
        <is>
          <t>Pimpinellros
Murgröna</t>
        </is>
      </c>
      <c r="S151">
        <f>HYPERLINK("https://klasma.github.io/Logging_0684/artfynd/A 22660-2020 artfynd.xlsx", "A 22660-2020")</f>
        <v/>
      </c>
      <c r="T151">
        <f>HYPERLINK("https://klasma.github.io/Logging_0684/kartor/A 22660-2020 karta.png", "A 22660-2020")</f>
        <v/>
      </c>
      <c r="V151">
        <f>HYPERLINK("https://klasma.github.io/Logging_0684/klagomål/A 22660-2020 FSC-klagomål.docx", "A 22660-2020")</f>
        <v/>
      </c>
      <c r="W151">
        <f>HYPERLINK("https://klasma.github.io/Logging_0684/klagomålsmail/A 22660-2020 FSC-klagomål mail.docx", "A 22660-2020")</f>
        <v/>
      </c>
      <c r="X151">
        <f>HYPERLINK("https://klasma.github.io/Logging_0684/tillsyn/A 22660-2020 tillsynsbegäran.docx", "A 22660-2020")</f>
        <v/>
      </c>
      <c r="Y151">
        <f>HYPERLINK("https://klasma.github.io/Logging_0684/tillsynsmail/A 22660-2020 tillsynsbegäran mail.docx", "A 22660-2020")</f>
        <v/>
      </c>
    </row>
    <row r="152" ht="15" customHeight="1">
      <c r="A152" t="inlineStr">
        <is>
          <t>A 29939-2020</t>
        </is>
      </c>
      <c r="B152" s="1" t="n">
        <v>44006</v>
      </c>
      <c r="C152" s="1" t="n">
        <v>45799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Backstarr
Sandviol</t>
        </is>
      </c>
      <c r="S152">
        <f>HYPERLINK("https://klasma.github.io/Logging_0685/artfynd/A 29939-2020 artfynd.xlsx", "A 29939-2020")</f>
        <v/>
      </c>
      <c r="T152">
        <f>HYPERLINK("https://klasma.github.io/Logging_0685/kartor/A 29939-2020 karta.png", "A 29939-2020")</f>
        <v/>
      </c>
      <c r="V152">
        <f>HYPERLINK("https://klasma.github.io/Logging_0685/klagomål/A 29939-2020 FSC-klagomål.docx", "A 29939-2020")</f>
        <v/>
      </c>
      <c r="W152">
        <f>HYPERLINK("https://klasma.github.io/Logging_0685/klagomålsmail/A 29939-2020 FSC-klagomål mail.docx", "A 29939-2020")</f>
        <v/>
      </c>
      <c r="X152">
        <f>HYPERLINK("https://klasma.github.io/Logging_0685/tillsyn/A 29939-2020 tillsynsbegäran.docx", "A 29939-2020")</f>
        <v/>
      </c>
      <c r="Y152">
        <f>HYPERLINK("https://klasma.github.io/Logging_0685/tillsynsmail/A 29939-2020 tillsynsbegäran mail.docx", "A 29939-2020")</f>
        <v/>
      </c>
    </row>
    <row r="153" ht="15" customHeight="1">
      <c r="A153" t="inlineStr">
        <is>
          <t>A 36233-2020</t>
        </is>
      </c>
      <c r="B153" s="1" t="n">
        <v>44049</v>
      </c>
      <c r="C153" s="1" t="n">
        <v>45799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HYPERLINK("https://klasma.github.io/Logging_0685/artfynd/A 36233-2020 artfynd.xlsx", "A 36233-2020")</f>
        <v/>
      </c>
      <c r="T153">
        <f>HYPERLINK("https://klasma.github.io/Logging_0685/kartor/A 36233-2020 karta.png", "A 36233-2020")</f>
        <v/>
      </c>
      <c r="V153">
        <f>HYPERLINK("https://klasma.github.io/Logging_0685/klagomål/A 36233-2020 FSC-klagomål.docx", "A 36233-2020")</f>
        <v/>
      </c>
      <c r="W153">
        <f>HYPERLINK("https://klasma.github.io/Logging_0685/klagomålsmail/A 36233-2020 FSC-klagomål mail.docx", "A 36233-2020")</f>
        <v/>
      </c>
      <c r="X153">
        <f>HYPERLINK("https://klasma.github.io/Logging_0685/tillsyn/A 36233-2020 tillsynsbegäran.docx", "A 36233-2020")</f>
        <v/>
      </c>
      <c r="Y153">
        <f>HYPERLINK("https://klasma.github.io/Logging_0685/tillsynsmail/A 36233-2020 tillsynsbegäran mail.docx", "A 36233-2020")</f>
        <v/>
      </c>
    </row>
    <row r="154" ht="15" customHeight="1">
      <c r="A154" t="inlineStr">
        <is>
          <t>A 46397-2020</t>
        </is>
      </c>
      <c r="B154" s="1" t="n">
        <v>44094</v>
      </c>
      <c r="C154" s="1" t="n">
        <v>45799</v>
      </c>
      <c r="D154" t="inlineStr">
        <is>
          <t>JÖNKÖPINGS LÄN</t>
        </is>
      </c>
      <c r="E154" t="inlineStr">
        <is>
          <t>JÖNKÖPING</t>
        </is>
      </c>
      <c r="G154" t="n">
        <v>6.5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Sommarfibbla
Spindelbock</t>
        </is>
      </c>
      <c r="S154">
        <f>HYPERLINK("https://klasma.github.io/Logging_0680/artfynd/A 46397-2020 artfynd.xlsx", "A 46397-2020")</f>
        <v/>
      </c>
      <c r="T154">
        <f>HYPERLINK("https://klasma.github.io/Logging_0680/kartor/A 46397-2020 karta.png", "A 46397-2020")</f>
        <v/>
      </c>
      <c r="V154">
        <f>HYPERLINK("https://klasma.github.io/Logging_0680/klagomål/A 46397-2020 FSC-klagomål.docx", "A 46397-2020")</f>
        <v/>
      </c>
      <c r="W154">
        <f>HYPERLINK("https://klasma.github.io/Logging_0680/klagomålsmail/A 46397-2020 FSC-klagomål mail.docx", "A 46397-2020")</f>
        <v/>
      </c>
      <c r="X154">
        <f>HYPERLINK("https://klasma.github.io/Logging_0680/tillsyn/A 46397-2020 tillsynsbegäran.docx", "A 46397-2020")</f>
        <v/>
      </c>
      <c r="Y154">
        <f>HYPERLINK("https://klasma.github.io/Logging_0680/tillsynsmail/A 46397-2020 tillsynsbegäran mail.docx", "A 46397-2020")</f>
        <v/>
      </c>
    </row>
    <row r="155" ht="15" customHeight="1">
      <c r="A155" t="inlineStr">
        <is>
          <t>A 59687-2020</t>
        </is>
      </c>
      <c r="B155" s="1" t="n">
        <v>44151</v>
      </c>
      <c r="C155" s="1" t="n">
        <v>45799</v>
      </c>
      <c r="D155" t="inlineStr">
        <is>
          <t>JÖNKÖPINGS LÄN</t>
        </is>
      </c>
      <c r="E155" t="inlineStr">
        <is>
          <t>JÖNKÖPING</t>
        </is>
      </c>
      <c r="G155" t="n">
        <v>4.6</v>
      </c>
      <c r="H155" t="n">
        <v>2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Korallrot
Spindelblomster</t>
        </is>
      </c>
      <c r="S155">
        <f>HYPERLINK("https://klasma.github.io/Logging_0680/artfynd/A 59687-2020 artfynd.xlsx", "A 59687-2020")</f>
        <v/>
      </c>
      <c r="T155">
        <f>HYPERLINK("https://klasma.github.io/Logging_0680/kartor/A 59687-2020 karta.png", "A 59687-2020")</f>
        <v/>
      </c>
      <c r="V155">
        <f>HYPERLINK("https://klasma.github.io/Logging_0680/klagomål/A 59687-2020 FSC-klagomål.docx", "A 59687-2020")</f>
        <v/>
      </c>
      <c r="W155">
        <f>HYPERLINK("https://klasma.github.io/Logging_0680/klagomålsmail/A 59687-2020 FSC-klagomål mail.docx", "A 59687-2020")</f>
        <v/>
      </c>
      <c r="X155">
        <f>HYPERLINK("https://klasma.github.io/Logging_0680/tillsyn/A 59687-2020 tillsynsbegäran.docx", "A 59687-2020")</f>
        <v/>
      </c>
      <c r="Y155">
        <f>HYPERLINK("https://klasma.github.io/Logging_0680/tillsynsmail/A 59687-2020 tillsynsbegäran mail.docx", "A 59687-2020")</f>
        <v/>
      </c>
    </row>
    <row r="156" ht="15" customHeight="1">
      <c r="A156" t="inlineStr">
        <is>
          <t>A 59975-2020</t>
        </is>
      </c>
      <c r="B156" s="1" t="n">
        <v>44151</v>
      </c>
      <c r="C156" s="1" t="n">
        <v>45799</v>
      </c>
      <c r="D156" t="inlineStr">
        <is>
          <t>JÖNKÖPINGS LÄN</t>
        </is>
      </c>
      <c r="E156" t="inlineStr">
        <is>
          <t>ANEBY</t>
        </is>
      </c>
      <c r="F156" t="inlineStr">
        <is>
          <t>Kyrkan</t>
        </is>
      </c>
      <c r="G156" t="n">
        <v>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HYPERLINK("https://klasma.github.io/Logging_0604/artfynd/A 59975-2020 artfynd.xlsx", "A 59975-2020")</f>
        <v/>
      </c>
      <c r="T156">
        <f>HYPERLINK("https://klasma.github.io/Logging_0604/kartor/A 59975-2020 karta.png", "A 59975-2020")</f>
        <v/>
      </c>
      <c r="U156">
        <f>HYPERLINK("https://klasma.github.io/Logging_0604/knärot/A 59975-2020 karta knärot.png", "A 59975-2020")</f>
        <v/>
      </c>
      <c r="V156">
        <f>HYPERLINK("https://klasma.github.io/Logging_0604/klagomål/A 59975-2020 FSC-klagomål.docx", "A 59975-2020")</f>
        <v/>
      </c>
      <c r="W156">
        <f>HYPERLINK("https://klasma.github.io/Logging_0604/klagomålsmail/A 59975-2020 FSC-klagomål mail.docx", "A 59975-2020")</f>
        <v/>
      </c>
      <c r="X156">
        <f>HYPERLINK("https://klasma.github.io/Logging_0604/tillsyn/A 59975-2020 tillsynsbegäran.docx", "A 59975-2020")</f>
        <v/>
      </c>
      <c r="Y156">
        <f>HYPERLINK("https://klasma.github.io/Logging_0604/tillsynsmail/A 59975-2020 tillsynsbegäran mail.docx", "A 59975-2020")</f>
        <v/>
      </c>
    </row>
    <row r="157" ht="15" customHeight="1">
      <c r="A157" t="inlineStr">
        <is>
          <t>A 66627-2020</t>
        </is>
      </c>
      <c r="B157" s="1" t="n">
        <v>44179</v>
      </c>
      <c r="C157" s="1" t="n">
        <v>45799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Granbarkgnagare</t>
        </is>
      </c>
      <c r="S157">
        <f>HYPERLINK("https://klasma.github.io/Logging_0682/artfynd/A 66627-2020 artfynd.xlsx", "A 66627-2020")</f>
        <v/>
      </c>
      <c r="T157">
        <f>HYPERLINK("https://klasma.github.io/Logging_0682/kartor/A 66627-2020 karta.png", "A 66627-2020")</f>
        <v/>
      </c>
      <c r="U157">
        <f>HYPERLINK("https://klasma.github.io/Logging_0682/knärot/A 66627-2020 karta knärot.png", "A 66627-2020")</f>
        <v/>
      </c>
      <c r="V157">
        <f>HYPERLINK("https://klasma.github.io/Logging_0682/klagomål/A 66627-2020 FSC-klagomål.docx", "A 66627-2020")</f>
        <v/>
      </c>
      <c r="W157">
        <f>HYPERLINK("https://klasma.github.io/Logging_0682/klagomålsmail/A 66627-2020 FSC-klagomål mail.docx", "A 66627-2020")</f>
        <v/>
      </c>
      <c r="X157">
        <f>HYPERLINK("https://klasma.github.io/Logging_0682/tillsyn/A 66627-2020 tillsynsbegäran.docx", "A 66627-2020")</f>
        <v/>
      </c>
      <c r="Y157">
        <f>HYPERLINK("https://klasma.github.io/Logging_0682/tillsynsmail/A 66627-2020 tillsynsbegäran mail.docx", "A 66627-2020")</f>
        <v/>
      </c>
    </row>
    <row r="158" ht="15" customHeight="1">
      <c r="A158" t="inlineStr">
        <is>
          <t>A 882-2021</t>
        </is>
      </c>
      <c r="B158" s="1" t="n">
        <v>44205</v>
      </c>
      <c r="C158" s="1" t="n">
        <v>45799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Sommarfibbla
Svinrot</t>
        </is>
      </c>
      <c r="S158">
        <f>HYPERLINK("https://klasma.github.io/Logging_0685/artfynd/A 882-2021 artfynd.xlsx", "A 882-2021")</f>
        <v/>
      </c>
      <c r="T158">
        <f>HYPERLINK("https://klasma.github.io/Logging_0685/kartor/A 882-2021 karta.png", "A 882-2021")</f>
        <v/>
      </c>
      <c r="V158">
        <f>HYPERLINK("https://klasma.github.io/Logging_0685/klagomål/A 882-2021 FSC-klagomål.docx", "A 882-2021")</f>
        <v/>
      </c>
      <c r="W158">
        <f>HYPERLINK("https://klasma.github.io/Logging_0685/klagomålsmail/A 882-2021 FSC-klagomål mail.docx", "A 882-2021")</f>
        <v/>
      </c>
      <c r="X158">
        <f>HYPERLINK("https://klasma.github.io/Logging_0685/tillsyn/A 882-2021 tillsynsbegäran.docx", "A 882-2021")</f>
        <v/>
      </c>
      <c r="Y158">
        <f>HYPERLINK("https://klasma.github.io/Logging_0685/tillsynsmail/A 882-2021 tillsynsbegäran mail.docx", "A 882-2021")</f>
        <v/>
      </c>
    </row>
    <row r="159" ht="15" customHeight="1">
      <c r="A159" t="inlineStr">
        <is>
          <t>A 10009-2021</t>
        </is>
      </c>
      <c r="B159" s="1" t="n">
        <v>44255</v>
      </c>
      <c r="C159" s="1" t="n">
        <v>45799</v>
      </c>
      <c r="D159" t="inlineStr">
        <is>
          <t>JÖNKÖPINGS LÄN</t>
        </is>
      </c>
      <c r="E159" t="inlineStr">
        <is>
          <t>VETLANDA</t>
        </is>
      </c>
      <c r="G159" t="n">
        <v>6.1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Blomkålssvamp
Blåsippa</t>
        </is>
      </c>
      <c r="S159">
        <f>HYPERLINK("https://klasma.github.io/Logging_0685/artfynd/A 10009-2021 artfynd.xlsx", "A 10009-2021")</f>
        <v/>
      </c>
      <c r="T159">
        <f>HYPERLINK("https://klasma.github.io/Logging_0685/kartor/A 10009-2021 karta.png", "A 10009-2021")</f>
        <v/>
      </c>
      <c r="V159">
        <f>HYPERLINK("https://klasma.github.io/Logging_0685/klagomål/A 10009-2021 FSC-klagomål.docx", "A 10009-2021")</f>
        <v/>
      </c>
      <c r="W159">
        <f>HYPERLINK("https://klasma.github.io/Logging_0685/klagomålsmail/A 10009-2021 FSC-klagomål mail.docx", "A 10009-2021")</f>
        <v/>
      </c>
      <c r="X159">
        <f>HYPERLINK("https://klasma.github.io/Logging_0685/tillsyn/A 10009-2021 tillsynsbegäran.docx", "A 10009-2021")</f>
        <v/>
      </c>
      <c r="Y159">
        <f>HYPERLINK("https://klasma.github.io/Logging_0685/tillsynsmail/A 10009-2021 tillsynsbegäran mail.docx", "A 10009-2021")</f>
        <v/>
      </c>
    </row>
    <row r="160" ht="15" customHeight="1">
      <c r="A160" t="inlineStr">
        <is>
          <t>A 45507-2021</t>
        </is>
      </c>
      <c r="B160" s="1" t="n">
        <v>44440</v>
      </c>
      <c r="C160" s="1" t="n">
        <v>45799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Mindre bastardsvärmare</t>
        </is>
      </c>
      <c r="S160">
        <f>HYPERLINK("https://klasma.github.io/Logging_0685/artfynd/A 45507-2021 artfynd.xlsx", "A 45507-2021")</f>
        <v/>
      </c>
      <c r="T160">
        <f>HYPERLINK("https://klasma.github.io/Logging_0685/kartor/A 45507-2021 karta.png", "A 45507-2021")</f>
        <v/>
      </c>
      <c r="V160">
        <f>HYPERLINK("https://klasma.github.io/Logging_0685/klagomål/A 45507-2021 FSC-klagomål.docx", "A 45507-2021")</f>
        <v/>
      </c>
      <c r="W160">
        <f>HYPERLINK("https://klasma.github.io/Logging_0685/klagomålsmail/A 45507-2021 FSC-klagomål mail.docx", "A 45507-2021")</f>
        <v/>
      </c>
      <c r="X160">
        <f>HYPERLINK("https://klasma.github.io/Logging_0685/tillsyn/A 45507-2021 tillsynsbegäran.docx", "A 45507-2021")</f>
        <v/>
      </c>
      <c r="Y160">
        <f>HYPERLINK("https://klasma.github.io/Logging_0685/tillsynsmail/A 45507-2021 tillsynsbegäran mail.docx", "A 45507-2021")</f>
        <v/>
      </c>
    </row>
    <row r="161" ht="15" customHeight="1">
      <c r="A161" t="inlineStr">
        <is>
          <t>A 46805-2021</t>
        </is>
      </c>
      <c r="B161" s="1" t="n">
        <v>44446</v>
      </c>
      <c r="C161" s="1" t="n">
        <v>45799</v>
      </c>
      <c r="D161" t="inlineStr">
        <is>
          <t>JÖNKÖPINGS LÄN</t>
        </is>
      </c>
      <c r="E161" t="inlineStr">
        <is>
          <t>TRANÅS</t>
        </is>
      </c>
      <c r="G161" t="n">
        <v>2.8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HYPERLINK("https://klasma.github.io/Logging_0687/artfynd/A 46805-2021 artfynd.xlsx", "A 46805-2021")</f>
        <v/>
      </c>
      <c r="T161">
        <f>HYPERLINK("https://klasma.github.io/Logging_0687/kartor/A 46805-2021 karta.png", "A 46805-2021")</f>
        <v/>
      </c>
      <c r="U161">
        <f>HYPERLINK("https://klasma.github.io/Logging_0687/knärot/A 46805-2021 karta knärot.png", "A 46805-2021")</f>
        <v/>
      </c>
      <c r="V161">
        <f>HYPERLINK("https://klasma.github.io/Logging_0687/klagomål/A 46805-2021 FSC-klagomål.docx", "A 46805-2021")</f>
        <v/>
      </c>
      <c r="W161">
        <f>HYPERLINK("https://klasma.github.io/Logging_0687/klagomålsmail/A 46805-2021 FSC-klagomål mail.docx", "A 46805-2021")</f>
        <v/>
      </c>
      <c r="X161">
        <f>HYPERLINK("https://klasma.github.io/Logging_0687/tillsyn/A 46805-2021 tillsynsbegäran.docx", "A 46805-2021")</f>
        <v/>
      </c>
      <c r="Y161">
        <f>HYPERLINK("https://klasma.github.io/Logging_0687/tillsynsmail/A 46805-2021 tillsynsbegäran mail.docx", "A 46805-2021")</f>
        <v/>
      </c>
    </row>
    <row r="162" ht="15" customHeight="1">
      <c r="A162" t="inlineStr">
        <is>
          <t>A 72729-2021</t>
        </is>
      </c>
      <c r="B162" s="1" t="n">
        <v>44546</v>
      </c>
      <c r="C162" s="1" t="n">
        <v>45799</v>
      </c>
      <c r="D162" t="inlineStr">
        <is>
          <t>JÖNKÖPINGS LÄN</t>
        </is>
      </c>
      <c r="E162" t="inlineStr">
        <is>
          <t>VÄRNAMO</t>
        </is>
      </c>
      <c r="G162" t="n">
        <v>9.699999999999999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Blåmossa
Vanlig groda</t>
        </is>
      </c>
      <c r="S162">
        <f>HYPERLINK("https://klasma.github.io/Logging_0683/artfynd/A 72729-2021 artfynd.xlsx", "A 72729-2021")</f>
        <v/>
      </c>
      <c r="T162">
        <f>HYPERLINK("https://klasma.github.io/Logging_0683/kartor/A 72729-2021 karta.png", "A 72729-2021")</f>
        <v/>
      </c>
      <c r="V162">
        <f>HYPERLINK("https://klasma.github.io/Logging_0683/klagomål/A 72729-2021 FSC-klagomål.docx", "A 72729-2021")</f>
        <v/>
      </c>
      <c r="W162">
        <f>HYPERLINK("https://klasma.github.io/Logging_0683/klagomålsmail/A 72729-2021 FSC-klagomål mail.docx", "A 72729-2021")</f>
        <v/>
      </c>
      <c r="X162">
        <f>HYPERLINK("https://klasma.github.io/Logging_0683/tillsyn/A 72729-2021 tillsynsbegäran.docx", "A 72729-2021")</f>
        <v/>
      </c>
      <c r="Y162">
        <f>HYPERLINK("https://klasma.github.io/Logging_0683/tillsynsmail/A 72729-2021 tillsynsbegäran mail.docx", "A 72729-2021")</f>
        <v/>
      </c>
    </row>
    <row r="163" ht="15" customHeight="1">
      <c r="A163" t="inlineStr">
        <is>
          <t>A 73375-2021</t>
        </is>
      </c>
      <c r="B163" s="1" t="n">
        <v>44550</v>
      </c>
      <c r="C163" s="1" t="n">
        <v>45799</v>
      </c>
      <c r="D163" t="inlineStr">
        <is>
          <t>JÖNKÖPINGS LÄN</t>
        </is>
      </c>
      <c r="E163" t="inlineStr">
        <is>
          <t>VETLANDA</t>
        </is>
      </c>
      <c r="G163" t="n">
        <v>7.4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Järpe
Blåsippa</t>
        </is>
      </c>
      <c r="S163">
        <f>HYPERLINK("https://klasma.github.io/Logging_0685/artfynd/A 73375-2021 artfynd.xlsx", "A 73375-2021")</f>
        <v/>
      </c>
      <c r="T163">
        <f>HYPERLINK("https://klasma.github.io/Logging_0685/kartor/A 73375-2021 karta.png", "A 73375-2021")</f>
        <v/>
      </c>
      <c r="V163">
        <f>HYPERLINK("https://klasma.github.io/Logging_0685/klagomål/A 73375-2021 FSC-klagomål.docx", "A 73375-2021")</f>
        <v/>
      </c>
      <c r="W163">
        <f>HYPERLINK("https://klasma.github.io/Logging_0685/klagomålsmail/A 73375-2021 FSC-klagomål mail.docx", "A 73375-2021")</f>
        <v/>
      </c>
      <c r="X163">
        <f>HYPERLINK("https://klasma.github.io/Logging_0685/tillsyn/A 73375-2021 tillsynsbegäran.docx", "A 73375-2021")</f>
        <v/>
      </c>
      <c r="Y163">
        <f>HYPERLINK("https://klasma.github.io/Logging_0685/tillsynsmail/A 73375-2021 tillsynsbegäran mail.docx", "A 73375-2021")</f>
        <v/>
      </c>
      <c r="Z163">
        <f>HYPERLINK("https://klasma.github.io/Logging_0685/fåglar/A 73375-2021 prioriterade fågelarter.docx", "A 73375-2021")</f>
        <v/>
      </c>
    </row>
    <row r="164" ht="15" customHeight="1">
      <c r="A164" t="inlineStr">
        <is>
          <t>A 7078-2022</t>
        </is>
      </c>
      <c r="B164" s="1" t="n">
        <v>44603</v>
      </c>
      <c r="C164" s="1" t="n">
        <v>45799</v>
      </c>
      <c r="D164" t="inlineStr">
        <is>
          <t>JÖNKÖPINGS LÄN</t>
        </is>
      </c>
      <c r="E164" t="inlineStr">
        <is>
          <t>VETLANDA</t>
        </is>
      </c>
      <c r="G164" t="n">
        <v>2.4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Narrklibbfibbla
Fjällig taggsvamp s.str.</t>
        </is>
      </c>
      <c r="S164">
        <f>HYPERLINK("https://klasma.github.io/Logging_0685/artfynd/A 7078-2022 artfynd.xlsx", "A 7078-2022")</f>
        <v/>
      </c>
      <c r="T164">
        <f>HYPERLINK("https://klasma.github.io/Logging_0685/kartor/A 7078-2022 karta.png", "A 7078-2022")</f>
        <v/>
      </c>
      <c r="V164">
        <f>HYPERLINK("https://klasma.github.io/Logging_0685/klagomål/A 7078-2022 FSC-klagomål.docx", "A 7078-2022")</f>
        <v/>
      </c>
      <c r="W164">
        <f>HYPERLINK("https://klasma.github.io/Logging_0685/klagomålsmail/A 7078-2022 FSC-klagomål mail.docx", "A 7078-2022")</f>
        <v/>
      </c>
      <c r="X164">
        <f>HYPERLINK("https://klasma.github.io/Logging_0685/tillsyn/A 7078-2022 tillsynsbegäran.docx", "A 7078-2022")</f>
        <v/>
      </c>
      <c r="Y164">
        <f>HYPERLINK("https://klasma.github.io/Logging_0685/tillsynsmail/A 7078-2022 tillsynsbegäran mail.docx", "A 7078-2022")</f>
        <v/>
      </c>
    </row>
    <row r="165" ht="15" customHeight="1">
      <c r="A165" t="inlineStr">
        <is>
          <t>A 9224-2022</t>
        </is>
      </c>
      <c r="B165" s="1" t="n">
        <v>44616</v>
      </c>
      <c r="C165" s="1" t="n">
        <v>45799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14.1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Spillkråka
Orre</t>
        </is>
      </c>
      <c r="S165">
        <f>HYPERLINK("https://klasma.github.io/Logging_0665/artfynd/A 9224-2022 artfynd.xlsx", "A 9224-2022")</f>
        <v/>
      </c>
      <c r="T165">
        <f>HYPERLINK("https://klasma.github.io/Logging_0665/kartor/A 9224-2022 karta.png", "A 9224-2022")</f>
        <v/>
      </c>
      <c r="V165">
        <f>HYPERLINK("https://klasma.github.io/Logging_0665/klagomål/A 9224-2022 FSC-klagomål.docx", "A 9224-2022")</f>
        <v/>
      </c>
      <c r="W165">
        <f>HYPERLINK("https://klasma.github.io/Logging_0665/klagomålsmail/A 9224-2022 FSC-klagomål mail.docx", "A 9224-2022")</f>
        <v/>
      </c>
      <c r="X165">
        <f>HYPERLINK("https://klasma.github.io/Logging_0665/tillsyn/A 9224-2022 tillsynsbegäran.docx", "A 9224-2022")</f>
        <v/>
      </c>
      <c r="Y165">
        <f>HYPERLINK("https://klasma.github.io/Logging_0665/tillsynsmail/A 9224-2022 tillsynsbegäran mail.docx", "A 9224-2022")</f>
        <v/>
      </c>
      <c r="Z165">
        <f>HYPERLINK("https://klasma.github.io/Logging_0665/fåglar/A 9224-2022 prioriterade fågelarter.docx", "A 9224-2022")</f>
        <v/>
      </c>
    </row>
    <row r="166" ht="15" customHeight="1">
      <c r="A166" t="inlineStr">
        <is>
          <t>A 13006-2022</t>
        </is>
      </c>
      <c r="B166" s="1" t="n">
        <v>44643</v>
      </c>
      <c r="C166" s="1" t="n">
        <v>45799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12.5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HYPERLINK("https://klasma.github.io/Logging_0685/artfynd/A 13006-2022 artfynd.xlsx", "A 13006-2022")</f>
        <v/>
      </c>
      <c r="T166">
        <f>HYPERLINK("https://klasma.github.io/Logging_0685/kartor/A 13006-2022 karta.png", "A 13006-2022")</f>
        <v/>
      </c>
      <c r="U166">
        <f>HYPERLINK("https://klasma.github.io/Logging_0685/knärot/A 13006-2022 karta knärot.png", "A 13006-2022")</f>
        <v/>
      </c>
      <c r="V166">
        <f>HYPERLINK("https://klasma.github.io/Logging_0685/klagomål/A 13006-2022 FSC-klagomål.docx", "A 13006-2022")</f>
        <v/>
      </c>
      <c r="W166">
        <f>HYPERLINK("https://klasma.github.io/Logging_0685/klagomålsmail/A 13006-2022 FSC-klagomål mail.docx", "A 13006-2022")</f>
        <v/>
      </c>
      <c r="X166">
        <f>HYPERLINK("https://klasma.github.io/Logging_0685/tillsyn/A 13006-2022 tillsynsbegäran.docx", "A 13006-2022")</f>
        <v/>
      </c>
      <c r="Y166">
        <f>HYPERLINK("https://klasma.github.io/Logging_0685/tillsynsmail/A 13006-2022 tillsynsbegäran mail.docx", "A 13006-2022")</f>
        <v/>
      </c>
    </row>
    <row r="167" ht="15" customHeight="1">
      <c r="A167" t="inlineStr">
        <is>
          <t>A 17130-2022</t>
        </is>
      </c>
      <c r="B167" s="1" t="n">
        <v>44677</v>
      </c>
      <c r="C167" s="1" t="n">
        <v>45799</v>
      </c>
      <c r="D167" t="inlineStr">
        <is>
          <t>JÖNKÖPINGS LÄN</t>
        </is>
      </c>
      <c r="E167" t="inlineStr">
        <is>
          <t>ANEBY</t>
        </is>
      </c>
      <c r="G167" t="n">
        <v>4.2</v>
      </c>
      <c r="H167" t="n">
        <v>2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Korallrot
Spindelblomster</t>
        </is>
      </c>
      <c r="S167">
        <f>HYPERLINK("https://klasma.github.io/Logging_0604/artfynd/A 17130-2022 artfynd.xlsx", "A 17130-2022")</f>
        <v/>
      </c>
      <c r="T167">
        <f>HYPERLINK("https://klasma.github.io/Logging_0604/kartor/A 17130-2022 karta.png", "A 17130-2022")</f>
        <v/>
      </c>
      <c r="V167">
        <f>HYPERLINK("https://klasma.github.io/Logging_0604/klagomål/A 17130-2022 FSC-klagomål.docx", "A 17130-2022")</f>
        <v/>
      </c>
      <c r="W167">
        <f>HYPERLINK("https://klasma.github.io/Logging_0604/klagomålsmail/A 17130-2022 FSC-klagomål mail.docx", "A 17130-2022")</f>
        <v/>
      </c>
      <c r="X167">
        <f>HYPERLINK("https://klasma.github.io/Logging_0604/tillsyn/A 17130-2022 tillsynsbegäran.docx", "A 17130-2022")</f>
        <v/>
      </c>
      <c r="Y167">
        <f>HYPERLINK("https://klasma.github.io/Logging_0604/tillsynsmail/A 17130-2022 tillsynsbegäran mail.docx", "A 17130-2022")</f>
        <v/>
      </c>
    </row>
    <row r="168" ht="15" customHeight="1">
      <c r="A168" t="inlineStr">
        <is>
          <t>A 22369-2022</t>
        </is>
      </c>
      <c r="B168" s="1" t="n">
        <v>44713</v>
      </c>
      <c r="C168" s="1" t="n">
        <v>45799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30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Entita
Mattlummer</t>
        </is>
      </c>
      <c r="S168">
        <f>HYPERLINK("https://klasma.github.io/Logging_0665/artfynd/A 22369-2022 artfynd.xlsx", "A 22369-2022")</f>
        <v/>
      </c>
      <c r="T168">
        <f>HYPERLINK("https://klasma.github.io/Logging_0665/kartor/A 22369-2022 karta.png", "A 22369-2022")</f>
        <v/>
      </c>
      <c r="V168">
        <f>HYPERLINK("https://klasma.github.io/Logging_0665/klagomål/A 22369-2022 FSC-klagomål.docx", "A 22369-2022")</f>
        <v/>
      </c>
      <c r="W168">
        <f>HYPERLINK("https://klasma.github.io/Logging_0665/klagomålsmail/A 22369-2022 FSC-klagomål mail.docx", "A 22369-2022")</f>
        <v/>
      </c>
      <c r="X168">
        <f>HYPERLINK("https://klasma.github.io/Logging_0665/tillsyn/A 22369-2022 tillsynsbegäran.docx", "A 22369-2022")</f>
        <v/>
      </c>
      <c r="Y168">
        <f>HYPERLINK("https://klasma.github.io/Logging_0665/tillsynsmail/A 22369-2022 tillsynsbegäran mail.docx", "A 22369-2022")</f>
        <v/>
      </c>
      <c r="Z168">
        <f>HYPERLINK("https://klasma.github.io/Logging_0665/fåglar/A 22369-2022 prioriterade fågelarter.docx", "A 22369-2022")</f>
        <v/>
      </c>
    </row>
    <row r="169" ht="15" customHeight="1">
      <c r="A169" t="inlineStr">
        <is>
          <t>A 28842-2022</t>
        </is>
      </c>
      <c r="B169" s="1" t="n">
        <v>44749</v>
      </c>
      <c r="C169" s="1" t="n">
        <v>45799</v>
      </c>
      <c r="D169" t="inlineStr">
        <is>
          <t>JÖNKÖPINGS LÄN</t>
        </is>
      </c>
      <c r="E169" t="inlineStr">
        <is>
          <t>HABO</t>
        </is>
      </c>
      <c r="G169" t="n">
        <v>3.7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Skrovlig taggsvamp
Blomkålssvamp</t>
        </is>
      </c>
      <c r="S169">
        <f>HYPERLINK("https://klasma.github.io/Logging_0643/artfynd/A 28842-2022 artfynd.xlsx", "A 28842-2022")</f>
        <v/>
      </c>
      <c r="T169">
        <f>HYPERLINK("https://klasma.github.io/Logging_0643/kartor/A 28842-2022 karta.png", "A 28842-2022")</f>
        <v/>
      </c>
      <c r="V169">
        <f>HYPERLINK("https://klasma.github.io/Logging_0643/klagomål/A 28842-2022 FSC-klagomål.docx", "A 28842-2022")</f>
        <v/>
      </c>
      <c r="W169">
        <f>HYPERLINK("https://klasma.github.io/Logging_0643/klagomålsmail/A 28842-2022 FSC-klagomål mail.docx", "A 28842-2022")</f>
        <v/>
      </c>
      <c r="X169">
        <f>HYPERLINK("https://klasma.github.io/Logging_0643/tillsyn/A 28842-2022 tillsynsbegäran.docx", "A 28842-2022")</f>
        <v/>
      </c>
      <c r="Y169">
        <f>HYPERLINK("https://klasma.github.io/Logging_0643/tillsynsmail/A 28842-2022 tillsynsbegäran mail.docx", "A 28842-2022")</f>
        <v/>
      </c>
    </row>
    <row r="170" ht="15" customHeight="1">
      <c r="A170" t="inlineStr">
        <is>
          <t>A 28847-2022</t>
        </is>
      </c>
      <c r="B170" s="1" t="n">
        <v>44749</v>
      </c>
      <c r="C170" s="1" t="n">
        <v>45799</v>
      </c>
      <c r="D170" t="inlineStr">
        <is>
          <t>JÖNKÖPINGS LÄN</t>
        </is>
      </c>
      <c r="E170" t="inlineStr">
        <is>
          <t>HABO</t>
        </is>
      </c>
      <c r="G170" t="n">
        <v>8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Motaggsvamp
Zontaggsvamp</t>
        </is>
      </c>
      <c r="S170">
        <f>HYPERLINK("https://klasma.github.io/Logging_0643/artfynd/A 28847-2022 artfynd.xlsx", "A 28847-2022")</f>
        <v/>
      </c>
      <c r="T170">
        <f>HYPERLINK("https://klasma.github.io/Logging_0643/kartor/A 28847-2022 karta.png", "A 28847-2022")</f>
        <v/>
      </c>
      <c r="V170">
        <f>HYPERLINK("https://klasma.github.io/Logging_0643/klagomål/A 28847-2022 FSC-klagomål.docx", "A 28847-2022")</f>
        <v/>
      </c>
      <c r="W170">
        <f>HYPERLINK("https://klasma.github.io/Logging_0643/klagomålsmail/A 28847-2022 FSC-klagomål mail.docx", "A 28847-2022")</f>
        <v/>
      </c>
      <c r="X170">
        <f>HYPERLINK("https://klasma.github.io/Logging_0643/tillsyn/A 28847-2022 tillsynsbegäran.docx", "A 28847-2022")</f>
        <v/>
      </c>
      <c r="Y170">
        <f>HYPERLINK("https://klasma.github.io/Logging_0643/tillsynsmail/A 28847-2022 tillsynsbegäran mail.docx", "A 28847-2022")</f>
        <v/>
      </c>
    </row>
    <row r="171" ht="15" customHeight="1">
      <c r="A171" t="inlineStr">
        <is>
          <t>A 42369-2022</t>
        </is>
      </c>
      <c r="B171" s="1" t="n">
        <v>44831</v>
      </c>
      <c r="C171" s="1" t="n">
        <v>45799</v>
      </c>
      <c r="D171" t="inlineStr">
        <is>
          <t>JÖNKÖPINGS LÄN</t>
        </is>
      </c>
      <c r="E171" t="inlineStr">
        <is>
          <t>JÖNKÖPING</t>
        </is>
      </c>
      <c r="G171" t="n">
        <v>6.8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Mörk husmossa
Västlig hakmossa</t>
        </is>
      </c>
      <c r="S171">
        <f>HYPERLINK("https://klasma.github.io/Logging_0680/artfynd/A 42369-2022 artfynd.xlsx", "A 42369-2022")</f>
        <v/>
      </c>
      <c r="T171">
        <f>HYPERLINK("https://klasma.github.io/Logging_0680/kartor/A 42369-2022 karta.png", "A 42369-2022")</f>
        <v/>
      </c>
      <c r="V171">
        <f>HYPERLINK("https://klasma.github.io/Logging_0680/klagomål/A 42369-2022 FSC-klagomål.docx", "A 42369-2022")</f>
        <v/>
      </c>
      <c r="W171">
        <f>HYPERLINK("https://klasma.github.io/Logging_0680/klagomålsmail/A 42369-2022 FSC-klagomål mail.docx", "A 42369-2022")</f>
        <v/>
      </c>
      <c r="X171">
        <f>HYPERLINK("https://klasma.github.io/Logging_0680/tillsyn/A 42369-2022 tillsynsbegäran.docx", "A 42369-2022")</f>
        <v/>
      </c>
      <c r="Y171">
        <f>HYPERLINK("https://klasma.github.io/Logging_0680/tillsynsmail/A 42369-2022 tillsynsbegäran mail.docx", "A 42369-2022")</f>
        <v/>
      </c>
    </row>
    <row r="172" ht="15" customHeight="1">
      <c r="A172" t="inlineStr">
        <is>
          <t>A 45525-2022</t>
        </is>
      </c>
      <c r="B172" s="1" t="n">
        <v>44841</v>
      </c>
      <c r="C172" s="1" t="n">
        <v>45799</v>
      </c>
      <c r="D172" t="inlineStr">
        <is>
          <t>JÖNKÖPINGS LÄN</t>
        </is>
      </c>
      <c r="E172" t="inlineStr">
        <is>
          <t>VÄRNAMO</t>
        </is>
      </c>
      <c r="G172" t="n">
        <v>15.2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Hasselticka
Svart trolldruva</t>
        </is>
      </c>
      <c r="S172">
        <f>HYPERLINK("https://klasma.github.io/Logging_0683/artfynd/A 45525-2022 artfynd.xlsx", "A 45525-2022")</f>
        <v/>
      </c>
      <c r="T172">
        <f>HYPERLINK("https://klasma.github.io/Logging_0683/kartor/A 45525-2022 karta.png", "A 45525-2022")</f>
        <v/>
      </c>
      <c r="V172">
        <f>HYPERLINK("https://klasma.github.io/Logging_0683/klagomål/A 45525-2022 FSC-klagomål.docx", "A 45525-2022")</f>
        <v/>
      </c>
      <c r="W172">
        <f>HYPERLINK("https://klasma.github.io/Logging_0683/klagomålsmail/A 45525-2022 FSC-klagomål mail.docx", "A 45525-2022")</f>
        <v/>
      </c>
      <c r="X172">
        <f>HYPERLINK("https://klasma.github.io/Logging_0683/tillsyn/A 45525-2022 tillsynsbegäran.docx", "A 45525-2022")</f>
        <v/>
      </c>
      <c r="Y172">
        <f>HYPERLINK("https://klasma.github.io/Logging_0683/tillsynsmail/A 45525-2022 tillsynsbegäran mail.docx", "A 45525-2022")</f>
        <v/>
      </c>
    </row>
    <row r="173" ht="15" customHeight="1">
      <c r="A173" t="inlineStr">
        <is>
          <t>A 46272-2022</t>
        </is>
      </c>
      <c r="B173" s="1" t="n">
        <v>44847</v>
      </c>
      <c r="C173" s="1" t="n">
        <v>45799</v>
      </c>
      <c r="D173" t="inlineStr">
        <is>
          <t>JÖNKÖPINGS LÄN</t>
        </is>
      </c>
      <c r="E173" t="inlineStr">
        <is>
          <t>SÄVSJÖ</t>
        </is>
      </c>
      <c r="G173" t="n">
        <v>6</v>
      </c>
      <c r="H173" t="n">
        <v>1</v>
      </c>
      <c r="I173" t="n">
        <v>0</v>
      </c>
      <c r="J173" t="n">
        <v>0</v>
      </c>
      <c r="K173" t="n">
        <v>1</v>
      </c>
      <c r="L173" t="n">
        <v>1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Mosippa
Slåttergubbe</t>
        </is>
      </c>
      <c r="S173">
        <f>HYPERLINK("https://klasma.github.io/Logging_0684/artfynd/A 46272-2022 artfynd.xlsx", "A 46272-2022")</f>
        <v/>
      </c>
      <c r="T173">
        <f>HYPERLINK("https://klasma.github.io/Logging_0684/kartor/A 46272-2022 karta.png", "A 46272-2022")</f>
        <v/>
      </c>
      <c r="V173">
        <f>HYPERLINK("https://klasma.github.io/Logging_0684/klagomål/A 46272-2022 FSC-klagomål.docx", "A 46272-2022")</f>
        <v/>
      </c>
      <c r="W173">
        <f>HYPERLINK("https://klasma.github.io/Logging_0684/klagomålsmail/A 46272-2022 FSC-klagomål mail.docx", "A 46272-2022")</f>
        <v/>
      </c>
      <c r="X173">
        <f>HYPERLINK("https://klasma.github.io/Logging_0684/tillsyn/A 46272-2022 tillsynsbegäran.docx", "A 46272-2022")</f>
        <v/>
      </c>
      <c r="Y173">
        <f>HYPERLINK("https://klasma.github.io/Logging_0684/tillsynsmail/A 46272-2022 tillsynsbegäran mail.docx", "A 46272-2022")</f>
        <v/>
      </c>
    </row>
    <row r="174" ht="15" customHeight="1">
      <c r="A174" t="inlineStr">
        <is>
          <t>A 55701-2022</t>
        </is>
      </c>
      <c r="B174" s="1" t="n">
        <v>44888</v>
      </c>
      <c r="C174" s="1" t="n">
        <v>45799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Storgröe
Hässleklocka</t>
        </is>
      </c>
      <c r="S174">
        <f>HYPERLINK("https://klasma.github.io/Logging_0687/artfynd/A 55701-2022 artfynd.xlsx", "A 55701-2022")</f>
        <v/>
      </c>
      <c r="T174">
        <f>HYPERLINK("https://klasma.github.io/Logging_0687/kartor/A 55701-2022 karta.png", "A 55701-2022")</f>
        <v/>
      </c>
      <c r="V174">
        <f>HYPERLINK("https://klasma.github.io/Logging_0687/klagomål/A 55701-2022 FSC-klagomål.docx", "A 55701-2022")</f>
        <v/>
      </c>
      <c r="W174">
        <f>HYPERLINK("https://klasma.github.io/Logging_0687/klagomålsmail/A 55701-2022 FSC-klagomål mail.docx", "A 55701-2022")</f>
        <v/>
      </c>
      <c r="X174">
        <f>HYPERLINK("https://klasma.github.io/Logging_0687/tillsyn/A 55701-2022 tillsynsbegäran.docx", "A 55701-2022")</f>
        <v/>
      </c>
      <c r="Y174">
        <f>HYPERLINK("https://klasma.github.io/Logging_0687/tillsynsmail/A 55701-2022 tillsynsbegäran mail.docx", "A 55701-2022")</f>
        <v/>
      </c>
    </row>
    <row r="175" ht="15" customHeight="1">
      <c r="A175" t="inlineStr">
        <is>
          <t>A 58101-2022</t>
        </is>
      </c>
      <c r="B175" s="1" t="n">
        <v>44900</v>
      </c>
      <c r="C175" s="1" t="n">
        <v>45799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Grönvit nattviol</t>
        </is>
      </c>
      <c r="S175">
        <f>HYPERLINK("https://klasma.github.io/Logging_0684/artfynd/A 58101-2022 artfynd.xlsx", "A 58101-2022")</f>
        <v/>
      </c>
      <c r="T175">
        <f>HYPERLINK("https://klasma.github.io/Logging_0684/kartor/A 58101-2022 karta.png", "A 58101-2022")</f>
        <v/>
      </c>
      <c r="V175">
        <f>HYPERLINK("https://klasma.github.io/Logging_0684/klagomål/A 58101-2022 FSC-klagomål.docx", "A 58101-2022")</f>
        <v/>
      </c>
      <c r="W175">
        <f>HYPERLINK("https://klasma.github.io/Logging_0684/klagomålsmail/A 58101-2022 FSC-klagomål mail.docx", "A 58101-2022")</f>
        <v/>
      </c>
      <c r="X175">
        <f>HYPERLINK("https://klasma.github.io/Logging_0684/tillsyn/A 58101-2022 tillsynsbegäran.docx", "A 58101-2022")</f>
        <v/>
      </c>
      <c r="Y175">
        <f>HYPERLINK("https://klasma.github.io/Logging_0684/tillsynsmail/A 58101-2022 tillsynsbegäran mail.docx", "A 58101-2022")</f>
        <v/>
      </c>
    </row>
    <row r="176" ht="15" customHeight="1">
      <c r="A176" t="inlineStr">
        <is>
          <t>A 59543-2022</t>
        </is>
      </c>
      <c r="B176" s="1" t="n">
        <v>44900</v>
      </c>
      <c r="C176" s="1" t="n">
        <v>45799</v>
      </c>
      <c r="D176" t="inlineStr">
        <is>
          <t>JÖNKÖPINGS LÄN</t>
        </is>
      </c>
      <c r="E176" t="inlineStr">
        <is>
          <t>TRANÅS</t>
        </is>
      </c>
      <c r="G176" t="n">
        <v>2.6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Större vattensalamander
Mindre vattensalamander</t>
        </is>
      </c>
      <c r="S176">
        <f>HYPERLINK("https://klasma.github.io/Logging_0687/artfynd/A 59543-2022 artfynd.xlsx", "A 59543-2022")</f>
        <v/>
      </c>
      <c r="T176">
        <f>HYPERLINK("https://klasma.github.io/Logging_0687/kartor/A 59543-2022 karta.png", "A 59543-2022")</f>
        <v/>
      </c>
      <c r="V176">
        <f>HYPERLINK("https://klasma.github.io/Logging_0687/klagomål/A 59543-2022 FSC-klagomål.docx", "A 59543-2022")</f>
        <v/>
      </c>
      <c r="W176">
        <f>HYPERLINK("https://klasma.github.io/Logging_0687/klagomålsmail/A 59543-2022 FSC-klagomål mail.docx", "A 59543-2022")</f>
        <v/>
      </c>
      <c r="X176">
        <f>HYPERLINK("https://klasma.github.io/Logging_0687/tillsyn/A 59543-2022 tillsynsbegäran.docx", "A 59543-2022")</f>
        <v/>
      </c>
      <c r="Y176">
        <f>HYPERLINK("https://klasma.github.io/Logging_0687/tillsynsmail/A 59543-2022 tillsynsbegäran mail.docx", "A 59543-2022")</f>
        <v/>
      </c>
    </row>
    <row r="177" ht="15" customHeight="1">
      <c r="A177" t="inlineStr">
        <is>
          <t>A 4015-2023</t>
        </is>
      </c>
      <c r="B177" s="1" t="n">
        <v>44952</v>
      </c>
      <c r="C177" s="1" t="n">
        <v>45799</v>
      </c>
      <c r="D177" t="inlineStr">
        <is>
          <t>JÖNKÖPINGS LÄN</t>
        </is>
      </c>
      <c r="E177" t="inlineStr">
        <is>
          <t>VAGGERYD</t>
        </is>
      </c>
      <c r="G177" t="n">
        <v>6</v>
      </c>
      <c r="H177" t="n">
        <v>2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Korallrot
Spindelblomster</t>
        </is>
      </c>
      <c r="S177">
        <f>HYPERLINK("https://klasma.github.io/Logging_0665/artfynd/A 4015-2023 artfynd.xlsx", "A 4015-2023")</f>
        <v/>
      </c>
      <c r="T177">
        <f>HYPERLINK("https://klasma.github.io/Logging_0665/kartor/A 4015-2023 karta.png", "A 4015-2023")</f>
        <v/>
      </c>
      <c r="V177">
        <f>HYPERLINK("https://klasma.github.io/Logging_0665/klagomål/A 4015-2023 FSC-klagomål.docx", "A 4015-2023")</f>
        <v/>
      </c>
      <c r="W177">
        <f>HYPERLINK("https://klasma.github.io/Logging_0665/klagomålsmail/A 4015-2023 FSC-klagomål mail.docx", "A 4015-2023")</f>
        <v/>
      </c>
      <c r="X177">
        <f>HYPERLINK("https://klasma.github.io/Logging_0665/tillsyn/A 4015-2023 tillsynsbegäran.docx", "A 4015-2023")</f>
        <v/>
      </c>
      <c r="Y177">
        <f>HYPERLINK("https://klasma.github.io/Logging_0665/tillsynsmail/A 4015-2023 tillsynsbegäran mail.docx", "A 4015-2023")</f>
        <v/>
      </c>
    </row>
    <row r="178" ht="15" customHeight="1">
      <c r="A178" t="inlineStr">
        <is>
          <t>A 6307-2023</t>
        </is>
      </c>
      <c r="B178" s="1" t="n">
        <v>44965</v>
      </c>
      <c r="C178" s="1" t="n">
        <v>45799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Liten hornflikmossa
Revlummer</t>
        </is>
      </c>
      <c r="S178">
        <f>HYPERLINK("https://klasma.github.io/Logging_0687/artfynd/A 6307-2023 artfynd.xlsx", "A 6307-2023")</f>
        <v/>
      </c>
      <c r="T178">
        <f>HYPERLINK("https://klasma.github.io/Logging_0687/kartor/A 6307-2023 karta.png", "A 6307-2023")</f>
        <v/>
      </c>
      <c r="V178">
        <f>HYPERLINK("https://klasma.github.io/Logging_0687/klagomål/A 6307-2023 FSC-klagomål.docx", "A 6307-2023")</f>
        <v/>
      </c>
      <c r="W178">
        <f>HYPERLINK("https://klasma.github.io/Logging_0687/klagomålsmail/A 6307-2023 FSC-klagomål mail.docx", "A 6307-2023")</f>
        <v/>
      </c>
      <c r="X178">
        <f>HYPERLINK("https://klasma.github.io/Logging_0687/tillsyn/A 6307-2023 tillsynsbegäran.docx", "A 6307-2023")</f>
        <v/>
      </c>
      <c r="Y178">
        <f>HYPERLINK("https://klasma.github.io/Logging_0687/tillsynsmail/A 6307-2023 tillsynsbegäran mail.docx", "A 6307-2023")</f>
        <v/>
      </c>
    </row>
    <row r="179" ht="15" customHeight="1">
      <c r="A179" t="inlineStr">
        <is>
          <t>A 7365-2023</t>
        </is>
      </c>
      <c r="B179" s="1" t="n">
        <v>44971</v>
      </c>
      <c r="C179" s="1" t="n">
        <v>45799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Grönvit nattviol</t>
        </is>
      </c>
      <c r="S179">
        <f>HYPERLINK("https://klasma.github.io/Logging_0642/artfynd/A 7365-2023 artfynd.xlsx", "A 7365-2023")</f>
        <v/>
      </c>
      <c r="T179">
        <f>HYPERLINK("https://klasma.github.io/Logging_0642/kartor/A 7365-2023 karta.png", "A 7365-2023")</f>
        <v/>
      </c>
      <c r="V179">
        <f>HYPERLINK("https://klasma.github.io/Logging_0642/klagomål/A 7365-2023 FSC-klagomål.docx", "A 7365-2023")</f>
        <v/>
      </c>
      <c r="W179">
        <f>HYPERLINK("https://klasma.github.io/Logging_0642/klagomålsmail/A 7365-2023 FSC-klagomål mail.docx", "A 7365-2023")</f>
        <v/>
      </c>
      <c r="X179">
        <f>HYPERLINK("https://klasma.github.io/Logging_0642/tillsyn/A 7365-2023 tillsynsbegäran.docx", "A 7365-2023")</f>
        <v/>
      </c>
      <c r="Y179">
        <f>HYPERLINK("https://klasma.github.io/Logging_0642/tillsynsmail/A 7365-2023 tillsynsbegäran mail.docx", "A 7365-2023")</f>
        <v/>
      </c>
    </row>
    <row r="180" ht="15" customHeight="1">
      <c r="A180" t="inlineStr">
        <is>
          <t>A 10991-2023</t>
        </is>
      </c>
      <c r="B180" s="1" t="n">
        <v>44991</v>
      </c>
      <c r="C180" s="1" t="n">
        <v>45799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Gulnål
Kornig nållav</t>
        </is>
      </c>
      <c r="S180">
        <f>HYPERLINK("https://klasma.github.io/Logging_0680/artfynd/A 10991-2023 artfynd.xlsx", "A 10991-2023")</f>
        <v/>
      </c>
      <c r="T180">
        <f>HYPERLINK("https://klasma.github.io/Logging_0680/kartor/A 10991-2023 karta.png", "A 10991-2023")</f>
        <v/>
      </c>
      <c r="V180">
        <f>HYPERLINK("https://klasma.github.io/Logging_0680/klagomål/A 10991-2023 FSC-klagomål.docx", "A 10991-2023")</f>
        <v/>
      </c>
      <c r="W180">
        <f>HYPERLINK("https://klasma.github.io/Logging_0680/klagomålsmail/A 10991-2023 FSC-klagomål mail.docx", "A 10991-2023")</f>
        <v/>
      </c>
      <c r="X180">
        <f>HYPERLINK("https://klasma.github.io/Logging_0680/tillsyn/A 10991-2023 tillsynsbegäran.docx", "A 10991-2023")</f>
        <v/>
      </c>
      <c r="Y180">
        <f>HYPERLINK("https://klasma.github.io/Logging_0680/tillsynsmail/A 10991-2023 tillsynsbegäran mail.docx", "A 10991-2023")</f>
        <v/>
      </c>
    </row>
    <row r="181" ht="15" customHeight="1">
      <c r="A181" t="inlineStr">
        <is>
          <t>A 14000-2023</t>
        </is>
      </c>
      <c r="B181" s="1" t="n">
        <v>45008</v>
      </c>
      <c r="C181" s="1" t="n">
        <v>45799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Backtimjan
Strutbräken</t>
        </is>
      </c>
      <c r="S181">
        <f>HYPERLINK("https://klasma.github.io/Logging_0683/artfynd/A 14000-2023 artfynd.xlsx", "A 14000-2023")</f>
        <v/>
      </c>
      <c r="T181">
        <f>HYPERLINK("https://klasma.github.io/Logging_0683/kartor/A 14000-2023 karta.png", "A 14000-2023")</f>
        <v/>
      </c>
      <c r="V181">
        <f>HYPERLINK("https://klasma.github.io/Logging_0683/klagomål/A 14000-2023 FSC-klagomål.docx", "A 14000-2023")</f>
        <v/>
      </c>
      <c r="W181">
        <f>HYPERLINK("https://klasma.github.io/Logging_0683/klagomålsmail/A 14000-2023 FSC-klagomål mail.docx", "A 14000-2023")</f>
        <v/>
      </c>
      <c r="X181">
        <f>HYPERLINK("https://klasma.github.io/Logging_0683/tillsyn/A 14000-2023 tillsynsbegäran.docx", "A 14000-2023")</f>
        <v/>
      </c>
      <c r="Y181">
        <f>HYPERLINK("https://klasma.github.io/Logging_0683/tillsynsmail/A 14000-2023 tillsynsbegäran mail.docx", "A 14000-2023")</f>
        <v/>
      </c>
    </row>
    <row r="182" ht="15" customHeight="1">
      <c r="A182" t="inlineStr">
        <is>
          <t>A 17256-2023</t>
        </is>
      </c>
      <c r="B182" s="1" t="n">
        <v>45035</v>
      </c>
      <c r="C182" s="1" t="n">
        <v>45799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Klasefibbla
Vårärt</t>
        </is>
      </c>
      <c r="S182">
        <f>HYPERLINK("https://klasma.github.io/Logging_0685/artfynd/A 17256-2023 artfynd.xlsx", "A 17256-2023")</f>
        <v/>
      </c>
      <c r="T182">
        <f>HYPERLINK("https://klasma.github.io/Logging_0685/kartor/A 17256-2023 karta.png", "A 17256-2023")</f>
        <v/>
      </c>
      <c r="V182">
        <f>HYPERLINK("https://klasma.github.io/Logging_0685/klagomål/A 17256-2023 FSC-klagomål.docx", "A 17256-2023")</f>
        <v/>
      </c>
      <c r="W182">
        <f>HYPERLINK("https://klasma.github.io/Logging_0685/klagomålsmail/A 17256-2023 FSC-klagomål mail.docx", "A 17256-2023")</f>
        <v/>
      </c>
      <c r="X182">
        <f>HYPERLINK("https://klasma.github.io/Logging_0685/tillsyn/A 17256-2023 tillsynsbegäran.docx", "A 17256-2023")</f>
        <v/>
      </c>
      <c r="Y182">
        <f>HYPERLINK("https://klasma.github.io/Logging_0685/tillsynsmail/A 17256-2023 tillsynsbegäran mail.docx", "A 17256-2023")</f>
        <v/>
      </c>
    </row>
    <row r="183" ht="15" customHeight="1">
      <c r="A183" t="inlineStr">
        <is>
          <t>A 18733-2023</t>
        </is>
      </c>
      <c r="B183" s="1" t="n">
        <v>45043</v>
      </c>
      <c r="C183" s="1" t="n">
        <v>45799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Fläckmaskros
Månlåsbräken</t>
        </is>
      </c>
      <c r="S183">
        <f>HYPERLINK("https://klasma.github.io/Logging_0682/artfynd/A 18733-2023 artfynd.xlsx", "A 18733-2023")</f>
        <v/>
      </c>
      <c r="T183">
        <f>HYPERLINK("https://klasma.github.io/Logging_0682/kartor/A 18733-2023 karta.png", "A 18733-2023")</f>
        <v/>
      </c>
      <c r="V183">
        <f>HYPERLINK("https://klasma.github.io/Logging_0682/klagomål/A 18733-2023 FSC-klagomål.docx", "A 18733-2023")</f>
        <v/>
      </c>
      <c r="W183">
        <f>HYPERLINK("https://klasma.github.io/Logging_0682/klagomålsmail/A 18733-2023 FSC-klagomål mail.docx", "A 18733-2023")</f>
        <v/>
      </c>
      <c r="X183">
        <f>HYPERLINK("https://klasma.github.io/Logging_0682/tillsyn/A 18733-2023 tillsynsbegäran.docx", "A 18733-2023")</f>
        <v/>
      </c>
      <c r="Y183">
        <f>HYPERLINK("https://klasma.github.io/Logging_0682/tillsynsmail/A 18733-2023 tillsynsbegäran mail.docx", "A 18733-2023")</f>
        <v/>
      </c>
    </row>
    <row r="184" ht="15" customHeight="1">
      <c r="A184" t="inlineStr">
        <is>
          <t>A 19201-2023</t>
        </is>
      </c>
      <c r="B184" s="1" t="n">
        <v>45048</v>
      </c>
      <c r="C184" s="1" t="n">
        <v>45799</v>
      </c>
      <c r="D184" t="inlineStr">
        <is>
          <t>JÖNKÖPINGS LÄN</t>
        </is>
      </c>
      <c r="E184" t="inlineStr">
        <is>
          <t>VETLANDA</t>
        </is>
      </c>
      <c r="G184" t="n">
        <v>4.6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Backsippa
Kryddspindling</t>
        </is>
      </c>
      <c r="S184">
        <f>HYPERLINK("https://klasma.github.io/Logging_0685/artfynd/A 19201-2023 artfynd.xlsx", "A 19201-2023")</f>
        <v/>
      </c>
      <c r="T184">
        <f>HYPERLINK("https://klasma.github.io/Logging_0685/kartor/A 19201-2023 karta.png", "A 19201-2023")</f>
        <v/>
      </c>
      <c r="V184">
        <f>HYPERLINK("https://klasma.github.io/Logging_0685/klagomål/A 19201-2023 FSC-klagomål.docx", "A 19201-2023")</f>
        <v/>
      </c>
      <c r="W184">
        <f>HYPERLINK("https://klasma.github.io/Logging_0685/klagomålsmail/A 19201-2023 FSC-klagomål mail.docx", "A 19201-2023")</f>
        <v/>
      </c>
      <c r="X184">
        <f>HYPERLINK("https://klasma.github.io/Logging_0685/tillsyn/A 19201-2023 tillsynsbegäran.docx", "A 19201-2023")</f>
        <v/>
      </c>
      <c r="Y184">
        <f>HYPERLINK("https://klasma.github.io/Logging_0685/tillsynsmail/A 19201-2023 tillsynsbegäran mail.docx", "A 19201-2023")</f>
        <v/>
      </c>
    </row>
    <row r="185" ht="15" customHeight="1">
      <c r="A185" t="inlineStr">
        <is>
          <t>A 20756-2023</t>
        </is>
      </c>
      <c r="B185" s="1" t="n">
        <v>45058</v>
      </c>
      <c r="C185" s="1" t="n">
        <v>45799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Naverlönn
Åkerkål</t>
        </is>
      </c>
      <c r="S185">
        <f>HYPERLINK("https://klasma.github.io/Logging_0680/artfynd/A 20756-2023 artfynd.xlsx", "A 20756-2023")</f>
        <v/>
      </c>
      <c r="T185">
        <f>HYPERLINK("https://klasma.github.io/Logging_0680/kartor/A 20756-2023 karta.png", "A 20756-2023")</f>
        <v/>
      </c>
      <c r="V185">
        <f>HYPERLINK("https://klasma.github.io/Logging_0680/klagomål/A 20756-2023 FSC-klagomål.docx", "A 20756-2023")</f>
        <v/>
      </c>
      <c r="W185">
        <f>HYPERLINK("https://klasma.github.io/Logging_0680/klagomålsmail/A 20756-2023 FSC-klagomål mail.docx", "A 20756-2023")</f>
        <v/>
      </c>
      <c r="X185">
        <f>HYPERLINK("https://klasma.github.io/Logging_0680/tillsyn/A 20756-2023 tillsynsbegäran.docx", "A 20756-2023")</f>
        <v/>
      </c>
      <c r="Y185">
        <f>HYPERLINK("https://klasma.github.io/Logging_0680/tillsynsmail/A 20756-2023 tillsynsbegäran mail.docx", "A 20756-2023")</f>
        <v/>
      </c>
    </row>
    <row r="186" ht="15" customHeight="1">
      <c r="A186" t="inlineStr">
        <is>
          <t>A 22167-2023</t>
        </is>
      </c>
      <c r="B186" s="1" t="n">
        <v>45069</v>
      </c>
      <c r="C186" s="1" t="n">
        <v>45799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Aprikosfingersvamp
Ängsfingersvamp</t>
        </is>
      </c>
      <c r="S186">
        <f>HYPERLINK("https://klasma.github.io/Logging_0684/artfynd/A 22167-2023 artfynd.xlsx", "A 22167-2023")</f>
        <v/>
      </c>
      <c r="T186">
        <f>HYPERLINK("https://klasma.github.io/Logging_0684/kartor/A 22167-2023 karta.png", "A 22167-2023")</f>
        <v/>
      </c>
      <c r="V186">
        <f>HYPERLINK("https://klasma.github.io/Logging_0684/klagomål/A 22167-2023 FSC-klagomål.docx", "A 22167-2023")</f>
        <v/>
      </c>
      <c r="W186">
        <f>HYPERLINK("https://klasma.github.io/Logging_0684/klagomålsmail/A 22167-2023 FSC-klagomål mail.docx", "A 22167-2023")</f>
        <v/>
      </c>
      <c r="X186">
        <f>HYPERLINK("https://klasma.github.io/Logging_0684/tillsyn/A 22167-2023 tillsynsbegäran.docx", "A 22167-2023")</f>
        <v/>
      </c>
      <c r="Y186">
        <f>HYPERLINK("https://klasma.github.io/Logging_0684/tillsynsmail/A 22167-2023 tillsynsbegäran mail.docx", "A 22167-2023")</f>
        <v/>
      </c>
    </row>
    <row r="187" ht="15" customHeight="1">
      <c r="A187" t="inlineStr">
        <is>
          <t>A 28096-2023</t>
        </is>
      </c>
      <c r="B187" s="1" t="n">
        <v>45099</v>
      </c>
      <c r="C187" s="1" t="n">
        <v>45799</v>
      </c>
      <c r="D187" t="inlineStr">
        <is>
          <t>JÖNKÖPINGS LÄN</t>
        </is>
      </c>
      <c r="E187" t="inlineStr">
        <is>
          <t>VÄRNAMO</t>
        </is>
      </c>
      <c r="G187" t="n">
        <v>3.3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HYPERLINK("https://klasma.github.io/Logging_0683/artfynd/A 28096-2023 artfynd.xlsx", "A 28096-2023")</f>
        <v/>
      </c>
      <c r="T187">
        <f>HYPERLINK("https://klasma.github.io/Logging_0683/kartor/A 28096-2023 karta.png", "A 28096-2023")</f>
        <v/>
      </c>
      <c r="V187">
        <f>HYPERLINK("https://klasma.github.io/Logging_0683/klagomål/A 28096-2023 FSC-klagomål.docx", "A 28096-2023")</f>
        <v/>
      </c>
      <c r="W187">
        <f>HYPERLINK("https://klasma.github.io/Logging_0683/klagomålsmail/A 28096-2023 FSC-klagomål mail.docx", "A 28096-2023")</f>
        <v/>
      </c>
      <c r="X187">
        <f>HYPERLINK("https://klasma.github.io/Logging_0683/tillsyn/A 28096-2023 tillsynsbegäran.docx", "A 28096-2023")</f>
        <v/>
      </c>
      <c r="Y187">
        <f>HYPERLINK("https://klasma.github.io/Logging_0683/tillsynsmail/A 28096-2023 tillsynsbegäran mail.docx", "A 28096-2023")</f>
        <v/>
      </c>
    </row>
    <row r="188" ht="15" customHeight="1">
      <c r="A188" t="inlineStr">
        <is>
          <t>A 28929-2023</t>
        </is>
      </c>
      <c r="B188" s="1" t="n">
        <v>45104</v>
      </c>
      <c r="C188" s="1" t="n">
        <v>45799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11.8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Västlig hakmossa
Nattviol</t>
        </is>
      </c>
      <c r="S188">
        <f>HYPERLINK("https://klasma.github.io/Logging_0665/artfynd/A 28929-2023 artfynd.xlsx", "A 28929-2023")</f>
        <v/>
      </c>
      <c r="T188">
        <f>HYPERLINK("https://klasma.github.io/Logging_0665/kartor/A 28929-2023 karta.png", "A 28929-2023")</f>
        <v/>
      </c>
      <c r="V188">
        <f>HYPERLINK("https://klasma.github.io/Logging_0665/klagomål/A 28929-2023 FSC-klagomål.docx", "A 28929-2023")</f>
        <v/>
      </c>
      <c r="W188">
        <f>HYPERLINK("https://klasma.github.io/Logging_0665/klagomålsmail/A 28929-2023 FSC-klagomål mail.docx", "A 28929-2023")</f>
        <v/>
      </c>
      <c r="X188">
        <f>HYPERLINK("https://klasma.github.io/Logging_0665/tillsyn/A 28929-2023 tillsynsbegäran.docx", "A 28929-2023")</f>
        <v/>
      </c>
      <c r="Y188">
        <f>HYPERLINK("https://klasma.github.io/Logging_0665/tillsynsmail/A 28929-2023 tillsynsbegäran mail.docx", "A 28929-2023")</f>
        <v/>
      </c>
    </row>
    <row r="189" ht="15" customHeight="1">
      <c r="A189" t="inlineStr">
        <is>
          <t>A 29486-2023</t>
        </is>
      </c>
      <c r="B189" s="1" t="n">
        <v>45106</v>
      </c>
      <c r="C189" s="1" t="n">
        <v>45799</v>
      </c>
      <c r="D189" t="inlineStr">
        <is>
          <t>JÖNKÖPINGS LÄN</t>
        </is>
      </c>
      <c r="E189" t="inlineStr">
        <is>
          <t>TRANÅS</t>
        </is>
      </c>
      <c r="G189" t="n">
        <v>4.3</v>
      </c>
      <c r="H189" t="n">
        <v>0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Åkerrättika
Klofibbla</t>
        </is>
      </c>
      <c r="S189">
        <f>HYPERLINK("https://klasma.github.io/Logging_0687/artfynd/A 29486-2023 artfynd.xlsx", "A 29486-2023")</f>
        <v/>
      </c>
      <c r="T189">
        <f>HYPERLINK("https://klasma.github.io/Logging_0687/kartor/A 29486-2023 karta.png", "A 29486-2023")</f>
        <v/>
      </c>
      <c r="V189">
        <f>HYPERLINK("https://klasma.github.io/Logging_0687/klagomål/A 29486-2023 FSC-klagomål.docx", "A 29486-2023")</f>
        <v/>
      </c>
      <c r="W189">
        <f>HYPERLINK("https://klasma.github.io/Logging_0687/klagomålsmail/A 29486-2023 FSC-klagomål mail.docx", "A 29486-2023")</f>
        <v/>
      </c>
      <c r="X189">
        <f>HYPERLINK("https://klasma.github.io/Logging_0687/tillsyn/A 29486-2023 tillsynsbegäran.docx", "A 29486-2023")</f>
        <v/>
      </c>
      <c r="Y189">
        <f>HYPERLINK("https://klasma.github.io/Logging_0687/tillsynsmail/A 29486-2023 tillsynsbegäran mail.docx", "A 29486-2023")</f>
        <v/>
      </c>
    </row>
    <row r="190" ht="15" customHeight="1">
      <c r="A190" t="inlineStr">
        <is>
          <t>A 29448-2023</t>
        </is>
      </c>
      <c r="B190" s="1" t="n">
        <v>45106</v>
      </c>
      <c r="C190" s="1" t="n">
        <v>45799</v>
      </c>
      <c r="D190" t="inlineStr">
        <is>
          <t>JÖNKÖPINGS LÄN</t>
        </is>
      </c>
      <c r="E190" t="inlineStr">
        <is>
          <t>HABO</t>
        </is>
      </c>
      <c r="G190" t="n">
        <v>4.6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Sexfläckig bastardsvärmare
Guldlockmossa</t>
        </is>
      </c>
      <c r="S190">
        <f>HYPERLINK("https://klasma.github.io/Logging_0643/artfynd/A 29448-2023 artfynd.xlsx", "A 29448-2023")</f>
        <v/>
      </c>
      <c r="T190">
        <f>HYPERLINK("https://klasma.github.io/Logging_0643/kartor/A 29448-2023 karta.png", "A 29448-2023")</f>
        <v/>
      </c>
      <c r="V190">
        <f>HYPERLINK("https://klasma.github.io/Logging_0643/klagomål/A 29448-2023 FSC-klagomål.docx", "A 29448-2023")</f>
        <v/>
      </c>
      <c r="W190">
        <f>HYPERLINK("https://klasma.github.io/Logging_0643/klagomålsmail/A 29448-2023 FSC-klagomål mail.docx", "A 29448-2023")</f>
        <v/>
      </c>
      <c r="X190">
        <f>HYPERLINK("https://klasma.github.io/Logging_0643/tillsyn/A 29448-2023 tillsynsbegäran.docx", "A 29448-2023")</f>
        <v/>
      </c>
      <c r="Y190">
        <f>HYPERLINK("https://klasma.github.io/Logging_0643/tillsynsmail/A 29448-2023 tillsynsbegäran mail.docx", "A 29448-2023")</f>
        <v/>
      </c>
    </row>
    <row r="191" ht="15" customHeight="1">
      <c r="A191" t="inlineStr">
        <is>
          <t>A 30125-2023</t>
        </is>
      </c>
      <c r="B191" s="1" t="n">
        <v>45110</v>
      </c>
      <c r="C191" s="1" t="n">
        <v>45799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14.3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Vedskivlav
Revlummer</t>
        </is>
      </c>
      <c r="S191">
        <f>HYPERLINK("https://klasma.github.io/Logging_0686/artfynd/A 30125-2023 artfynd.xlsx", "A 30125-2023")</f>
        <v/>
      </c>
      <c r="T191">
        <f>HYPERLINK("https://klasma.github.io/Logging_0686/kartor/A 30125-2023 karta.png", "A 30125-2023")</f>
        <v/>
      </c>
      <c r="V191">
        <f>HYPERLINK("https://klasma.github.io/Logging_0686/klagomål/A 30125-2023 FSC-klagomål.docx", "A 30125-2023")</f>
        <v/>
      </c>
      <c r="W191">
        <f>HYPERLINK("https://klasma.github.io/Logging_0686/klagomålsmail/A 30125-2023 FSC-klagomål mail.docx", "A 30125-2023")</f>
        <v/>
      </c>
      <c r="X191">
        <f>HYPERLINK("https://klasma.github.io/Logging_0686/tillsyn/A 30125-2023 tillsynsbegäran.docx", "A 30125-2023")</f>
        <v/>
      </c>
      <c r="Y191">
        <f>HYPERLINK("https://klasma.github.io/Logging_0686/tillsynsmail/A 30125-2023 tillsynsbegäran mail.docx", "A 30125-2023")</f>
        <v/>
      </c>
    </row>
    <row r="192" ht="15" customHeight="1">
      <c r="A192" t="inlineStr">
        <is>
          <t>A 40296-2023</t>
        </is>
      </c>
      <c r="B192" s="1" t="n">
        <v>45169</v>
      </c>
      <c r="C192" s="1" t="n">
        <v>45799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Blomkålssvamp</t>
        </is>
      </c>
      <c r="S192">
        <f>HYPERLINK("https://klasma.github.io/Logging_0680/artfynd/A 40296-2023 artfynd.xlsx", "A 40296-2023")</f>
        <v/>
      </c>
      <c r="T192">
        <f>HYPERLINK("https://klasma.github.io/Logging_0680/kartor/A 40296-2023 karta.png", "A 40296-2023")</f>
        <v/>
      </c>
      <c r="U192">
        <f>HYPERLINK("https://klasma.github.io/Logging_0680/knärot/A 40296-2023 karta knärot.png", "A 40296-2023")</f>
        <v/>
      </c>
      <c r="V192">
        <f>HYPERLINK("https://klasma.github.io/Logging_0680/klagomål/A 40296-2023 FSC-klagomål.docx", "A 40296-2023")</f>
        <v/>
      </c>
      <c r="W192">
        <f>HYPERLINK("https://klasma.github.io/Logging_0680/klagomålsmail/A 40296-2023 FSC-klagomål mail.docx", "A 40296-2023")</f>
        <v/>
      </c>
      <c r="X192">
        <f>HYPERLINK("https://klasma.github.io/Logging_0680/tillsyn/A 40296-2023 tillsynsbegäran.docx", "A 40296-2023")</f>
        <v/>
      </c>
      <c r="Y192">
        <f>HYPERLINK("https://klasma.github.io/Logging_0680/tillsynsmail/A 40296-2023 tillsynsbegäran mail.docx", "A 40296-2023")</f>
        <v/>
      </c>
    </row>
    <row r="193" ht="15" customHeight="1">
      <c r="A193" t="inlineStr">
        <is>
          <t>A 41315-2023</t>
        </is>
      </c>
      <c r="B193" s="1" t="n">
        <v>45174</v>
      </c>
      <c r="C193" s="1" t="n">
        <v>45799</v>
      </c>
      <c r="D193" t="inlineStr">
        <is>
          <t>JÖNKÖPINGS LÄN</t>
        </is>
      </c>
      <c r="E193" t="inlineStr">
        <is>
          <t>EKSJÖ</t>
        </is>
      </c>
      <c r="G193" t="n">
        <v>6.9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HYPERLINK("https://klasma.github.io/Logging_0686/artfynd/A 41315-2023 artfynd.xlsx", "A 41315-2023")</f>
        <v/>
      </c>
      <c r="T193">
        <f>HYPERLINK("https://klasma.github.io/Logging_0686/kartor/A 41315-2023 karta.png", "A 41315-2023")</f>
        <v/>
      </c>
      <c r="V193">
        <f>HYPERLINK("https://klasma.github.io/Logging_0686/klagomål/A 41315-2023 FSC-klagomål.docx", "A 41315-2023")</f>
        <v/>
      </c>
      <c r="W193">
        <f>HYPERLINK("https://klasma.github.io/Logging_0686/klagomålsmail/A 41315-2023 FSC-klagomål mail.docx", "A 41315-2023")</f>
        <v/>
      </c>
      <c r="X193">
        <f>HYPERLINK("https://klasma.github.io/Logging_0686/tillsyn/A 41315-2023 tillsynsbegäran.docx", "A 41315-2023")</f>
        <v/>
      </c>
      <c r="Y193">
        <f>HYPERLINK("https://klasma.github.io/Logging_0686/tillsynsmail/A 41315-2023 tillsynsbegäran mail.docx", "A 41315-2023")</f>
        <v/>
      </c>
    </row>
    <row r="194" ht="15" customHeight="1">
      <c r="A194" t="inlineStr">
        <is>
          <t>A 43195-2023</t>
        </is>
      </c>
      <c r="B194" s="1" t="n">
        <v>45183</v>
      </c>
      <c r="C194" s="1" t="n">
        <v>45799</v>
      </c>
      <c r="D194" t="inlineStr">
        <is>
          <t>JÖNKÖPINGS LÄN</t>
        </is>
      </c>
      <c r="E194" t="inlineStr">
        <is>
          <t>VETLANDA</t>
        </is>
      </c>
      <c r="G194" t="n">
        <v>11.9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HYPERLINK("https://klasma.github.io/Logging_0685/artfynd/A 43195-2023 artfynd.xlsx", "A 43195-2023")</f>
        <v/>
      </c>
      <c r="T194">
        <f>HYPERLINK("https://klasma.github.io/Logging_0685/kartor/A 43195-2023 karta.png", "A 43195-2023")</f>
        <v/>
      </c>
      <c r="U194">
        <f>HYPERLINK("https://klasma.github.io/Logging_0685/knärot/A 43195-2023 karta knärot.png", "A 43195-2023")</f>
        <v/>
      </c>
      <c r="V194">
        <f>HYPERLINK("https://klasma.github.io/Logging_0685/klagomål/A 43195-2023 FSC-klagomål.docx", "A 43195-2023")</f>
        <v/>
      </c>
      <c r="W194">
        <f>HYPERLINK("https://klasma.github.io/Logging_0685/klagomålsmail/A 43195-2023 FSC-klagomål mail.docx", "A 43195-2023")</f>
        <v/>
      </c>
      <c r="X194">
        <f>HYPERLINK("https://klasma.github.io/Logging_0685/tillsyn/A 43195-2023 tillsynsbegäran.docx", "A 43195-2023")</f>
        <v/>
      </c>
      <c r="Y194">
        <f>HYPERLINK("https://klasma.github.io/Logging_0685/tillsynsmail/A 43195-2023 tillsynsbegäran mail.docx", "A 43195-2023")</f>
        <v/>
      </c>
      <c r="Z194">
        <f>HYPERLINK("https://klasma.github.io/Logging_0685/fåglar/A 43195-2023 prioriterade fågelarter.docx", "A 43195-2023")</f>
        <v/>
      </c>
    </row>
    <row r="195" ht="15" customHeight="1">
      <c r="A195" t="inlineStr">
        <is>
          <t>A 48393-2023</t>
        </is>
      </c>
      <c r="B195" s="1" t="n">
        <v>45201</v>
      </c>
      <c r="C195" s="1" t="n">
        <v>45799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5.3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Björktrast
Röd glada</t>
        </is>
      </c>
      <c r="S195">
        <f>HYPERLINK("https://klasma.github.io/Logging_0685/artfynd/A 48393-2023 artfynd.xlsx", "A 48393-2023")</f>
        <v/>
      </c>
      <c r="T195">
        <f>HYPERLINK("https://klasma.github.io/Logging_0685/kartor/A 48393-2023 karta.png", "A 48393-2023")</f>
        <v/>
      </c>
      <c r="V195">
        <f>HYPERLINK("https://klasma.github.io/Logging_0685/klagomål/A 48393-2023 FSC-klagomål.docx", "A 48393-2023")</f>
        <v/>
      </c>
      <c r="W195">
        <f>HYPERLINK("https://klasma.github.io/Logging_0685/klagomålsmail/A 48393-2023 FSC-klagomål mail.docx", "A 48393-2023")</f>
        <v/>
      </c>
      <c r="X195">
        <f>HYPERLINK("https://klasma.github.io/Logging_0685/tillsyn/A 48393-2023 tillsynsbegäran.docx", "A 48393-2023")</f>
        <v/>
      </c>
      <c r="Y195">
        <f>HYPERLINK("https://klasma.github.io/Logging_0685/tillsynsmail/A 48393-2023 tillsynsbegäran mail.docx", "A 48393-2023")</f>
        <v/>
      </c>
      <c r="Z195">
        <f>HYPERLINK("https://klasma.github.io/Logging_0685/fåglar/A 48393-2023 prioriterade fågelarter.docx", "A 48393-2023")</f>
        <v/>
      </c>
    </row>
    <row r="196" ht="15" customHeight="1">
      <c r="A196" t="inlineStr">
        <is>
          <t>A 50867-2023</t>
        </is>
      </c>
      <c r="B196" s="1" t="n">
        <v>45218</v>
      </c>
      <c r="C196" s="1" t="n">
        <v>45799</v>
      </c>
      <c r="D196" t="inlineStr">
        <is>
          <t>JÖNKÖPINGS LÄN</t>
        </is>
      </c>
      <c r="E196" t="inlineStr">
        <is>
          <t>VETLANDA</t>
        </is>
      </c>
      <c r="G196" t="n">
        <v>1.9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HYPERLINK("https://klasma.github.io/Logging_0685/artfynd/A 50867-2023 artfynd.xlsx", "A 50867-2023")</f>
        <v/>
      </c>
      <c r="T196">
        <f>HYPERLINK("https://klasma.github.io/Logging_0685/kartor/A 50867-2023 karta.png", "A 50867-2023")</f>
        <v/>
      </c>
      <c r="U196">
        <f>HYPERLINK("https://klasma.github.io/Logging_0685/knärot/A 50867-2023 karta knärot.png", "A 50867-2023")</f>
        <v/>
      </c>
      <c r="V196">
        <f>HYPERLINK("https://klasma.github.io/Logging_0685/klagomål/A 50867-2023 FSC-klagomål.docx", "A 50867-2023")</f>
        <v/>
      </c>
      <c r="W196">
        <f>HYPERLINK("https://klasma.github.io/Logging_0685/klagomålsmail/A 50867-2023 FSC-klagomål mail.docx", "A 50867-2023")</f>
        <v/>
      </c>
      <c r="X196">
        <f>HYPERLINK("https://klasma.github.io/Logging_0685/tillsyn/A 50867-2023 tillsynsbegäran.docx", "A 50867-2023")</f>
        <v/>
      </c>
      <c r="Y196">
        <f>HYPERLINK("https://klasma.github.io/Logging_0685/tillsynsmail/A 50867-2023 tillsynsbegäran mail.docx", "A 50867-2023")</f>
        <v/>
      </c>
    </row>
    <row r="197" ht="15" customHeight="1">
      <c r="A197" t="inlineStr">
        <is>
          <t>A 52032-2023</t>
        </is>
      </c>
      <c r="B197" s="1" t="n">
        <v>45223</v>
      </c>
      <c r="C197" s="1" t="n">
        <v>45799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Fläcknycklar
Revlummer</t>
        </is>
      </c>
      <c r="S197">
        <f>HYPERLINK("https://klasma.github.io/Logging_0665/artfynd/A 52032-2023 artfynd.xlsx", "A 52032-2023")</f>
        <v/>
      </c>
      <c r="T197">
        <f>HYPERLINK("https://klasma.github.io/Logging_0665/kartor/A 52032-2023 karta.png", "A 52032-2023")</f>
        <v/>
      </c>
      <c r="V197">
        <f>HYPERLINK("https://klasma.github.io/Logging_0665/klagomål/A 52032-2023 FSC-klagomål.docx", "A 52032-2023")</f>
        <v/>
      </c>
      <c r="W197">
        <f>HYPERLINK("https://klasma.github.io/Logging_0665/klagomålsmail/A 52032-2023 FSC-klagomål mail.docx", "A 52032-2023")</f>
        <v/>
      </c>
      <c r="X197">
        <f>HYPERLINK("https://klasma.github.io/Logging_0665/tillsyn/A 52032-2023 tillsynsbegäran.docx", "A 52032-2023")</f>
        <v/>
      </c>
      <c r="Y197">
        <f>HYPERLINK("https://klasma.github.io/Logging_0665/tillsynsmail/A 52032-2023 tillsynsbegäran mail.docx", "A 52032-2023")</f>
        <v/>
      </c>
    </row>
    <row r="198" ht="15" customHeight="1">
      <c r="A198" t="inlineStr">
        <is>
          <t>A 64978-2023</t>
        </is>
      </c>
      <c r="B198" s="1" t="n">
        <v>45285</v>
      </c>
      <c r="C198" s="1" t="n">
        <v>45799</v>
      </c>
      <c r="D198" t="inlineStr">
        <is>
          <t>JÖNKÖPINGS LÄN</t>
        </is>
      </c>
      <c r="E198" t="inlineStr">
        <is>
          <t>EKSJÖ</t>
        </is>
      </c>
      <c r="G198" t="n">
        <v>4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Svart trolldruva
Blåsippa</t>
        </is>
      </c>
      <c r="S198">
        <f>HYPERLINK("https://klasma.github.io/Logging_0686/artfynd/A 64978-2023 artfynd.xlsx", "A 64978-2023")</f>
        <v/>
      </c>
      <c r="T198">
        <f>HYPERLINK("https://klasma.github.io/Logging_0686/kartor/A 64978-2023 karta.png", "A 64978-2023")</f>
        <v/>
      </c>
      <c r="V198">
        <f>HYPERLINK("https://klasma.github.io/Logging_0686/klagomål/A 64978-2023 FSC-klagomål.docx", "A 64978-2023")</f>
        <v/>
      </c>
      <c r="W198">
        <f>HYPERLINK("https://klasma.github.io/Logging_0686/klagomålsmail/A 64978-2023 FSC-klagomål mail.docx", "A 64978-2023")</f>
        <v/>
      </c>
      <c r="X198">
        <f>HYPERLINK("https://klasma.github.io/Logging_0686/tillsyn/A 64978-2023 tillsynsbegäran.docx", "A 64978-2023")</f>
        <v/>
      </c>
      <c r="Y198">
        <f>HYPERLINK("https://klasma.github.io/Logging_0686/tillsynsmail/A 64978-2023 tillsynsbegäran mail.docx", "A 64978-2023")</f>
        <v/>
      </c>
    </row>
    <row r="199" ht="15" customHeight="1">
      <c r="A199" t="inlineStr">
        <is>
          <t>A 1235-2024</t>
        </is>
      </c>
      <c r="B199" s="1" t="n">
        <v>45302</v>
      </c>
      <c r="C199" s="1" t="n">
        <v>45799</v>
      </c>
      <c r="D199" t="inlineStr">
        <is>
          <t>JÖNKÖPINGS LÄN</t>
        </is>
      </c>
      <c r="E199" t="inlineStr">
        <is>
          <t>JÖNKÖPING</t>
        </is>
      </c>
      <c r="G199" t="n">
        <v>2.8</v>
      </c>
      <c r="H199" t="n">
        <v>0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Lakritsmusseron
Dropptaggsvamp</t>
        </is>
      </c>
      <c r="S199">
        <f>HYPERLINK("https://klasma.github.io/Logging_0680/artfynd/A 1235-2024 artfynd.xlsx", "A 1235-2024")</f>
        <v/>
      </c>
      <c r="T199">
        <f>HYPERLINK("https://klasma.github.io/Logging_0680/kartor/A 1235-2024 karta.png", "A 1235-2024")</f>
        <v/>
      </c>
      <c r="V199">
        <f>HYPERLINK("https://klasma.github.io/Logging_0680/klagomål/A 1235-2024 FSC-klagomål.docx", "A 1235-2024")</f>
        <v/>
      </c>
      <c r="W199">
        <f>HYPERLINK("https://klasma.github.io/Logging_0680/klagomålsmail/A 1235-2024 FSC-klagomål mail.docx", "A 1235-2024")</f>
        <v/>
      </c>
      <c r="X199">
        <f>HYPERLINK("https://klasma.github.io/Logging_0680/tillsyn/A 1235-2024 tillsynsbegäran.docx", "A 1235-2024")</f>
        <v/>
      </c>
      <c r="Y199">
        <f>HYPERLINK("https://klasma.github.io/Logging_0680/tillsynsmail/A 1235-2024 tillsynsbegäran mail.docx", "A 1235-2024")</f>
        <v/>
      </c>
    </row>
    <row r="200" ht="15" customHeight="1">
      <c r="A200" t="inlineStr">
        <is>
          <t>A 4438-2024</t>
        </is>
      </c>
      <c r="B200" s="1" t="n">
        <v>45327</v>
      </c>
      <c r="C200" s="1" t="n">
        <v>45799</v>
      </c>
      <c r="D200" t="inlineStr">
        <is>
          <t>JÖNKÖPINGS LÄN</t>
        </is>
      </c>
      <c r="E200" t="inlineStr">
        <is>
          <t>VÄRNAMO</t>
        </is>
      </c>
      <c r="G200" t="n">
        <v>12.6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Stor revmossa
Västlig hakmossa</t>
        </is>
      </c>
      <c r="S200">
        <f>HYPERLINK("https://klasma.github.io/Logging_0683/artfynd/A 4438-2024 artfynd.xlsx", "A 4438-2024")</f>
        <v/>
      </c>
      <c r="T200">
        <f>HYPERLINK("https://klasma.github.io/Logging_0683/kartor/A 4438-2024 karta.png", "A 4438-2024")</f>
        <v/>
      </c>
      <c r="V200">
        <f>HYPERLINK("https://klasma.github.io/Logging_0683/klagomål/A 4438-2024 FSC-klagomål.docx", "A 4438-2024")</f>
        <v/>
      </c>
      <c r="W200">
        <f>HYPERLINK("https://klasma.github.io/Logging_0683/klagomålsmail/A 4438-2024 FSC-klagomål mail.docx", "A 4438-2024")</f>
        <v/>
      </c>
      <c r="X200">
        <f>HYPERLINK("https://klasma.github.io/Logging_0683/tillsyn/A 4438-2024 tillsynsbegäran.docx", "A 4438-2024")</f>
        <v/>
      </c>
      <c r="Y200">
        <f>HYPERLINK("https://klasma.github.io/Logging_0683/tillsynsmail/A 4438-2024 tillsynsbegäran mail.docx", "A 4438-2024")</f>
        <v/>
      </c>
    </row>
    <row r="201" ht="15" customHeight="1">
      <c r="A201" t="inlineStr">
        <is>
          <t>A 9221-2024</t>
        </is>
      </c>
      <c r="B201" s="1" t="n">
        <v>45358</v>
      </c>
      <c r="C201" s="1" t="n">
        <v>45799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Motaggsvamp
Blomkålssvamp</t>
        </is>
      </c>
      <c r="S201">
        <f>HYPERLINK("https://klasma.github.io/Logging_0680/artfynd/A 9221-2024 artfynd.xlsx", "A 9221-2024")</f>
        <v/>
      </c>
      <c r="T201">
        <f>HYPERLINK("https://klasma.github.io/Logging_0680/kartor/A 9221-2024 karta.png", "A 9221-2024")</f>
        <v/>
      </c>
      <c r="V201">
        <f>HYPERLINK("https://klasma.github.io/Logging_0680/klagomål/A 9221-2024 FSC-klagomål.docx", "A 9221-2024")</f>
        <v/>
      </c>
      <c r="W201">
        <f>HYPERLINK("https://klasma.github.io/Logging_0680/klagomålsmail/A 9221-2024 FSC-klagomål mail.docx", "A 9221-2024")</f>
        <v/>
      </c>
      <c r="X201">
        <f>HYPERLINK("https://klasma.github.io/Logging_0680/tillsyn/A 9221-2024 tillsynsbegäran.docx", "A 9221-2024")</f>
        <v/>
      </c>
      <c r="Y201">
        <f>HYPERLINK("https://klasma.github.io/Logging_0680/tillsynsmail/A 9221-2024 tillsynsbegäran mail.docx", "A 9221-2024")</f>
        <v/>
      </c>
    </row>
    <row r="202" ht="15" customHeight="1">
      <c r="A202" t="inlineStr">
        <is>
          <t>A 13323-2024</t>
        </is>
      </c>
      <c r="B202" s="1" t="n">
        <v>45386</v>
      </c>
      <c r="C202" s="1" t="n">
        <v>45799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Vanlig snok</t>
        </is>
      </c>
      <c r="S202">
        <f>HYPERLINK("https://klasma.github.io/Logging_0685/artfynd/A 13323-2024 artfynd.xlsx", "A 13323-2024")</f>
        <v/>
      </c>
      <c r="T202">
        <f>HYPERLINK("https://klasma.github.io/Logging_0685/kartor/A 13323-2024 karta.png", "A 13323-2024")</f>
        <v/>
      </c>
      <c r="U202">
        <f>HYPERLINK("https://klasma.github.io/Logging_0685/knärot/A 13323-2024 karta knärot.png", "A 13323-2024")</f>
        <v/>
      </c>
      <c r="V202">
        <f>HYPERLINK("https://klasma.github.io/Logging_0685/klagomål/A 13323-2024 FSC-klagomål.docx", "A 13323-2024")</f>
        <v/>
      </c>
      <c r="W202">
        <f>HYPERLINK("https://klasma.github.io/Logging_0685/klagomålsmail/A 13323-2024 FSC-klagomål mail.docx", "A 13323-2024")</f>
        <v/>
      </c>
      <c r="X202">
        <f>HYPERLINK("https://klasma.github.io/Logging_0685/tillsyn/A 13323-2024 tillsynsbegäran.docx", "A 13323-2024")</f>
        <v/>
      </c>
      <c r="Y202">
        <f>HYPERLINK("https://klasma.github.io/Logging_0685/tillsynsmail/A 13323-2024 tillsynsbegäran mail.docx", "A 13323-2024")</f>
        <v/>
      </c>
    </row>
    <row r="203" ht="15" customHeight="1">
      <c r="A203" t="inlineStr">
        <is>
          <t>A 14539-2024</t>
        </is>
      </c>
      <c r="B203" s="1" t="n">
        <v>45394</v>
      </c>
      <c r="C203" s="1" t="n">
        <v>45799</v>
      </c>
      <c r="D203" t="inlineStr">
        <is>
          <t>JÖNKÖPINGS LÄN</t>
        </is>
      </c>
      <c r="E203" t="inlineStr">
        <is>
          <t>NÄSSJÖ</t>
        </is>
      </c>
      <c r="G203" t="n">
        <v>9.9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Entita
Flodsångare</t>
        </is>
      </c>
      <c r="S203">
        <f>HYPERLINK("https://klasma.github.io/Logging_0682/artfynd/A 14539-2024 artfynd.xlsx", "A 14539-2024")</f>
        <v/>
      </c>
      <c r="T203">
        <f>HYPERLINK("https://klasma.github.io/Logging_0682/kartor/A 14539-2024 karta.png", "A 14539-2024")</f>
        <v/>
      </c>
      <c r="V203">
        <f>HYPERLINK("https://klasma.github.io/Logging_0682/klagomål/A 14539-2024 FSC-klagomål.docx", "A 14539-2024")</f>
        <v/>
      </c>
      <c r="W203">
        <f>HYPERLINK("https://klasma.github.io/Logging_0682/klagomålsmail/A 14539-2024 FSC-klagomål mail.docx", "A 14539-2024")</f>
        <v/>
      </c>
      <c r="X203">
        <f>HYPERLINK("https://klasma.github.io/Logging_0682/tillsyn/A 14539-2024 tillsynsbegäran.docx", "A 14539-2024")</f>
        <v/>
      </c>
      <c r="Y203">
        <f>HYPERLINK("https://klasma.github.io/Logging_0682/tillsynsmail/A 14539-2024 tillsynsbegäran mail.docx", "A 14539-2024")</f>
        <v/>
      </c>
      <c r="Z203">
        <f>HYPERLINK("https://klasma.github.io/Logging_0682/fåglar/A 14539-2024 prioriterade fågelarter.docx", "A 14539-2024")</f>
        <v/>
      </c>
    </row>
    <row r="204" ht="15" customHeight="1">
      <c r="A204" t="inlineStr">
        <is>
          <t>A 15227-2024</t>
        </is>
      </c>
      <c r="B204" s="1" t="n">
        <v>45400</v>
      </c>
      <c r="C204" s="1" t="n">
        <v>45799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1.4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Havsörn
Tjäder</t>
        </is>
      </c>
      <c r="S204">
        <f>HYPERLINK("https://klasma.github.io/Logging_0662/artfynd/A 15227-2024 artfynd.xlsx", "A 15227-2024")</f>
        <v/>
      </c>
      <c r="T204">
        <f>HYPERLINK("https://klasma.github.io/Logging_0662/kartor/A 15227-2024 karta.png", "A 15227-2024")</f>
        <v/>
      </c>
      <c r="V204">
        <f>HYPERLINK("https://klasma.github.io/Logging_0662/klagomål/A 15227-2024 FSC-klagomål.docx", "A 15227-2024")</f>
        <v/>
      </c>
      <c r="W204">
        <f>HYPERLINK("https://klasma.github.io/Logging_0662/klagomålsmail/A 15227-2024 FSC-klagomål mail.docx", "A 15227-2024")</f>
        <v/>
      </c>
      <c r="X204">
        <f>HYPERLINK("https://klasma.github.io/Logging_0662/tillsyn/A 15227-2024 tillsynsbegäran.docx", "A 15227-2024")</f>
        <v/>
      </c>
      <c r="Y204">
        <f>HYPERLINK("https://klasma.github.io/Logging_0662/tillsynsmail/A 15227-2024 tillsynsbegäran mail.docx", "A 15227-2024")</f>
        <v/>
      </c>
      <c r="Z204">
        <f>HYPERLINK("https://klasma.github.io/Logging_0662/fåglar/A 15227-2024 prioriterade fågelarter.docx", "A 15227-2024")</f>
        <v/>
      </c>
    </row>
    <row r="205" ht="15" customHeight="1">
      <c r="A205" t="inlineStr">
        <is>
          <t>A 28300-2024</t>
        </is>
      </c>
      <c r="B205" s="1" t="n">
        <v>45477</v>
      </c>
      <c r="C205" s="1" t="n">
        <v>45799</v>
      </c>
      <c r="D205" t="inlineStr">
        <is>
          <t>JÖNKÖPINGS LÄN</t>
        </is>
      </c>
      <c r="E205" t="inlineStr">
        <is>
          <t>VETLANDA</t>
        </is>
      </c>
      <c r="G205" t="n">
        <v>7.9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Dropptaggsvamp</t>
        </is>
      </c>
      <c r="S205">
        <f>HYPERLINK("https://klasma.github.io/Logging_0685/artfynd/A 28300-2024 artfynd.xlsx", "A 28300-2024")</f>
        <v/>
      </c>
      <c r="T205">
        <f>HYPERLINK("https://klasma.github.io/Logging_0685/kartor/A 28300-2024 karta.png", "A 28300-2024")</f>
        <v/>
      </c>
      <c r="V205">
        <f>HYPERLINK("https://klasma.github.io/Logging_0685/klagomål/A 28300-2024 FSC-klagomål.docx", "A 28300-2024")</f>
        <v/>
      </c>
      <c r="W205">
        <f>HYPERLINK("https://klasma.github.io/Logging_0685/klagomålsmail/A 28300-2024 FSC-klagomål mail.docx", "A 28300-2024")</f>
        <v/>
      </c>
      <c r="X205">
        <f>HYPERLINK("https://klasma.github.io/Logging_0685/tillsyn/A 28300-2024 tillsynsbegäran.docx", "A 28300-2024")</f>
        <v/>
      </c>
      <c r="Y205">
        <f>HYPERLINK("https://klasma.github.io/Logging_0685/tillsynsmail/A 28300-2024 tillsynsbegäran mail.docx", "A 28300-2024")</f>
        <v/>
      </c>
      <c r="Z205">
        <f>HYPERLINK("https://klasma.github.io/Logging_0685/fåglar/A 28300-2024 prioriterade fågelarter.docx", "A 28300-2024")</f>
        <v/>
      </c>
    </row>
    <row r="206" ht="15" customHeight="1">
      <c r="A206" t="inlineStr">
        <is>
          <t>A 29356-2024</t>
        </is>
      </c>
      <c r="B206" s="1" t="n">
        <v>45483</v>
      </c>
      <c r="C206" s="1" t="n">
        <v>45799</v>
      </c>
      <c r="D206" t="inlineStr">
        <is>
          <t>JÖNKÖPINGS LÄN</t>
        </is>
      </c>
      <c r="E206" t="inlineStr">
        <is>
          <t>VÄRNAMO</t>
        </is>
      </c>
      <c r="G206" t="n">
        <v>4.1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Vätteros</t>
        </is>
      </c>
      <c r="S206">
        <f>HYPERLINK("https://klasma.github.io/Logging_0683/artfynd/A 29356-2024 artfynd.xlsx", "A 29356-2024")</f>
        <v/>
      </c>
      <c r="T206">
        <f>HYPERLINK("https://klasma.github.io/Logging_0683/kartor/A 29356-2024 karta.png", "A 29356-2024")</f>
        <v/>
      </c>
      <c r="V206">
        <f>HYPERLINK("https://klasma.github.io/Logging_0683/klagomål/A 29356-2024 FSC-klagomål.docx", "A 29356-2024")</f>
        <v/>
      </c>
      <c r="W206">
        <f>HYPERLINK("https://klasma.github.io/Logging_0683/klagomålsmail/A 29356-2024 FSC-klagomål mail.docx", "A 29356-2024")</f>
        <v/>
      </c>
      <c r="X206">
        <f>HYPERLINK("https://klasma.github.io/Logging_0683/tillsyn/A 29356-2024 tillsynsbegäran.docx", "A 29356-2024")</f>
        <v/>
      </c>
      <c r="Y206">
        <f>HYPERLINK("https://klasma.github.io/Logging_0683/tillsynsmail/A 29356-2024 tillsynsbegäran mail.docx", "A 29356-2024")</f>
        <v/>
      </c>
    </row>
    <row r="207" ht="15" customHeight="1">
      <c r="A207" t="inlineStr">
        <is>
          <t>A 30046-2024</t>
        </is>
      </c>
      <c r="B207" s="1" t="n">
        <v>45488</v>
      </c>
      <c r="C207" s="1" t="n">
        <v>45799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Större brunfladdermus</t>
        </is>
      </c>
      <c r="S207">
        <f>HYPERLINK("https://klasma.github.io/Logging_0662/artfynd/A 30046-2024 artfynd.xlsx", "A 30046-2024")</f>
        <v/>
      </c>
      <c r="T207">
        <f>HYPERLINK("https://klasma.github.io/Logging_0662/kartor/A 30046-2024 karta.png", "A 30046-2024")</f>
        <v/>
      </c>
      <c r="V207">
        <f>HYPERLINK("https://klasma.github.io/Logging_0662/klagomål/A 30046-2024 FSC-klagomål.docx", "A 30046-2024")</f>
        <v/>
      </c>
      <c r="W207">
        <f>HYPERLINK("https://klasma.github.io/Logging_0662/klagomålsmail/A 30046-2024 FSC-klagomål mail.docx", "A 30046-2024")</f>
        <v/>
      </c>
      <c r="X207">
        <f>HYPERLINK("https://klasma.github.io/Logging_0662/tillsyn/A 30046-2024 tillsynsbegäran.docx", "A 30046-2024")</f>
        <v/>
      </c>
      <c r="Y207">
        <f>HYPERLINK("https://klasma.github.io/Logging_0662/tillsynsmail/A 30046-2024 tillsynsbegäran mail.docx", "A 30046-2024")</f>
        <v/>
      </c>
    </row>
    <row r="208" ht="15" customHeight="1">
      <c r="A208" t="inlineStr">
        <is>
          <t>A 33797-2024</t>
        </is>
      </c>
      <c r="B208" s="1" t="n">
        <v>45520</v>
      </c>
      <c r="C208" s="1" t="n">
        <v>45799</v>
      </c>
      <c r="D208" t="inlineStr">
        <is>
          <t>JÖNKÖPINGS LÄN</t>
        </is>
      </c>
      <c r="E208" t="inlineStr">
        <is>
          <t>VETLANDA</t>
        </is>
      </c>
      <c r="G208" t="n">
        <v>2</v>
      </c>
      <c r="H208" t="n">
        <v>2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Vanlig groda</t>
        </is>
      </c>
      <c r="S208">
        <f>HYPERLINK("https://klasma.github.io/Logging_0685/artfynd/A 33797-2024 artfynd.xlsx", "A 33797-2024")</f>
        <v/>
      </c>
      <c r="T208">
        <f>HYPERLINK("https://klasma.github.io/Logging_0685/kartor/A 33797-2024 karta.png", "A 33797-2024")</f>
        <v/>
      </c>
      <c r="U208">
        <f>HYPERLINK("https://klasma.github.io/Logging_0685/knärot/A 33797-2024 karta knärot.png", "A 33797-2024")</f>
        <v/>
      </c>
      <c r="V208">
        <f>HYPERLINK("https://klasma.github.io/Logging_0685/klagomål/A 33797-2024 FSC-klagomål.docx", "A 33797-2024")</f>
        <v/>
      </c>
      <c r="W208">
        <f>HYPERLINK("https://klasma.github.io/Logging_0685/klagomålsmail/A 33797-2024 FSC-klagomål mail.docx", "A 33797-2024")</f>
        <v/>
      </c>
      <c r="X208">
        <f>HYPERLINK("https://klasma.github.io/Logging_0685/tillsyn/A 33797-2024 tillsynsbegäran.docx", "A 33797-2024")</f>
        <v/>
      </c>
      <c r="Y208">
        <f>HYPERLINK("https://klasma.github.io/Logging_0685/tillsynsmail/A 33797-2024 tillsynsbegäran mail.docx", "A 33797-2024")</f>
        <v/>
      </c>
    </row>
    <row r="209" ht="15" customHeight="1">
      <c r="A209" t="inlineStr">
        <is>
          <t>A 35828-2024</t>
        </is>
      </c>
      <c r="B209" s="1" t="n">
        <v>45532</v>
      </c>
      <c r="C209" s="1" t="n">
        <v>45799</v>
      </c>
      <c r="D209" t="inlineStr">
        <is>
          <t>JÖNKÖPINGS LÄN</t>
        </is>
      </c>
      <c r="E209" t="inlineStr">
        <is>
          <t>MULLSJÖ</t>
        </is>
      </c>
      <c r="G209" t="n">
        <v>6.7</v>
      </c>
      <c r="H209" t="n">
        <v>0</v>
      </c>
      <c r="I209" t="n">
        <v>0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Ask
Svinrot</t>
        </is>
      </c>
      <c r="S209">
        <f>HYPERLINK("https://klasma.github.io/Logging_0642/artfynd/A 35828-2024 artfynd.xlsx", "A 35828-2024")</f>
        <v/>
      </c>
      <c r="T209">
        <f>HYPERLINK("https://klasma.github.io/Logging_0642/kartor/A 35828-2024 karta.png", "A 35828-2024")</f>
        <v/>
      </c>
      <c r="V209">
        <f>HYPERLINK("https://klasma.github.io/Logging_0642/klagomål/A 35828-2024 FSC-klagomål.docx", "A 35828-2024")</f>
        <v/>
      </c>
      <c r="W209">
        <f>HYPERLINK("https://klasma.github.io/Logging_0642/klagomålsmail/A 35828-2024 FSC-klagomål mail.docx", "A 35828-2024")</f>
        <v/>
      </c>
      <c r="X209">
        <f>HYPERLINK("https://klasma.github.io/Logging_0642/tillsyn/A 35828-2024 tillsynsbegäran.docx", "A 35828-2024")</f>
        <v/>
      </c>
      <c r="Y209">
        <f>HYPERLINK("https://klasma.github.io/Logging_0642/tillsynsmail/A 35828-2024 tillsynsbegäran mail.docx", "A 35828-2024")</f>
        <v/>
      </c>
    </row>
    <row r="210" ht="15" customHeight="1">
      <c r="A210" t="inlineStr">
        <is>
          <t>A 37016-2024</t>
        </is>
      </c>
      <c r="B210" s="1" t="n">
        <v>45539</v>
      </c>
      <c r="C210" s="1" t="n">
        <v>45799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Tibast
Vårärt</t>
        </is>
      </c>
      <c r="S210">
        <f>HYPERLINK("https://klasma.github.io/Logging_0680/artfynd/A 37016-2024 artfynd.xlsx", "A 37016-2024")</f>
        <v/>
      </c>
      <c r="T210">
        <f>HYPERLINK("https://klasma.github.io/Logging_0680/kartor/A 37016-2024 karta.png", "A 37016-2024")</f>
        <v/>
      </c>
      <c r="V210">
        <f>HYPERLINK("https://klasma.github.io/Logging_0680/klagomål/A 37016-2024 FSC-klagomål.docx", "A 37016-2024")</f>
        <v/>
      </c>
      <c r="W210">
        <f>HYPERLINK("https://klasma.github.io/Logging_0680/klagomålsmail/A 37016-2024 FSC-klagomål mail.docx", "A 37016-2024")</f>
        <v/>
      </c>
      <c r="X210">
        <f>HYPERLINK("https://klasma.github.io/Logging_0680/tillsyn/A 37016-2024 tillsynsbegäran.docx", "A 37016-2024")</f>
        <v/>
      </c>
      <c r="Y210">
        <f>HYPERLINK("https://klasma.github.io/Logging_0680/tillsynsmail/A 37016-2024 tillsynsbegäran mail.docx", "A 37016-2024")</f>
        <v/>
      </c>
    </row>
    <row r="211" ht="15" customHeight="1">
      <c r="A211" t="inlineStr">
        <is>
          <t>A 39302-2024</t>
        </is>
      </c>
      <c r="B211" s="1" t="n">
        <v>45551</v>
      </c>
      <c r="C211" s="1" t="n">
        <v>45799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Nordfladdermus
Dvärgpipistrell</t>
        </is>
      </c>
      <c r="S211">
        <f>HYPERLINK("https://klasma.github.io/Logging_0685/artfynd/A 39302-2024 artfynd.xlsx", "A 39302-2024")</f>
        <v/>
      </c>
      <c r="T211">
        <f>HYPERLINK("https://klasma.github.io/Logging_0685/kartor/A 39302-2024 karta.png", "A 39302-2024")</f>
        <v/>
      </c>
      <c r="V211">
        <f>HYPERLINK("https://klasma.github.io/Logging_0685/klagomål/A 39302-2024 FSC-klagomål.docx", "A 39302-2024")</f>
        <v/>
      </c>
      <c r="W211">
        <f>HYPERLINK("https://klasma.github.io/Logging_0685/klagomålsmail/A 39302-2024 FSC-klagomål mail.docx", "A 39302-2024")</f>
        <v/>
      </c>
      <c r="X211">
        <f>HYPERLINK("https://klasma.github.io/Logging_0685/tillsyn/A 39302-2024 tillsynsbegäran.docx", "A 39302-2024")</f>
        <v/>
      </c>
      <c r="Y211">
        <f>HYPERLINK("https://klasma.github.io/Logging_0685/tillsynsmail/A 39302-2024 tillsynsbegäran mail.docx", "A 39302-2024")</f>
        <v/>
      </c>
    </row>
    <row r="212" ht="15" customHeight="1">
      <c r="A212" t="inlineStr">
        <is>
          <t>A 43324-2024</t>
        </is>
      </c>
      <c r="B212" s="1" t="n">
        <v>45568</v>
      </c>
      <c r="C212" s="1" t="n">
        <v>45799</v>
      </c>
      <c r="D212" t="inlineStr">
        <is>
          <t>JÖNKÖPINGS LÄN</t>
        </is>
      </c>
      <c r="E212" t="inlineStr">
        <is>
          <t>HABO</t>
        </is>
      </c>
      <c r="G212" t="n">
        <v>3.9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Slåtterfibbla
Blomkålssvamp</t>
        </is>
      </c>
      <c r="S212">
        <f>HYPERLINK("https://klasma.github.io/Logging_0643/artfynd/A 43324-2024 artfynd.xlsx", "A 43324-2024")</f>
        <v/>
      </c>
      <c r="T212">
        <f>HYPERLINK("https://klasma.github.io/Logging_0643/kartor/A 43324-2024 karta.png", "A 43324-2024")</f>
        <v/>
      </c>
      <c r="V212">
        <f>HYPERLINK("https://klasma.github.io/Logging_0643/klagomål/A 43324-2024 FSC-klagomål.docx", "A 43324-2024")</f>
        <v/>
      </c>
      <c r="W212">
        <f>HYPERLINK("https://klasma.github.io/Logging_0643/klagomålsmail/A 43324-2024 FSC-klagomål mail.docx", "A 43324-2024")</f>
        <v/>
      </c>
      <c r="X212">
        <f>HYPERLINK("https://klasma.github.io/Logging_0643/tillsyn/A 43324-2024 tillsynsbegäran.docx", "A 43324-2024")</f>
        <v/>
      </c>
      <c r="Y212">
        <f>HYPERLINK("https://klasma.github.io/Logging_0643/tillsynsmail/A 43324-2024 tillsynsbegäran mail.docx", "A 43324-2024")</f>
        <v/>
      </c>
    </row>
    <row r="213" ht="15" customHeight="1">
      <c r="A213" t="inlineStr">
        <is>
          <t>A 46762-2024</t>
        </is>
      </c>
      <c r="B213" s="1" t="n">
        <v>45583</v>
      </c>
      <c r="C213" s="1" t="n">
        <v>45799</v>
      </c>
      <c r="D213" t="inlineStr">
        <is>
          <t>JÖNKÖPINGS LÄN</t>
        </is>
      </c>
      <c r="E213" t="inlineStr">
        <is>
          <t>EKSJÖ</t>
        </is>
      </c>
      <c r="G213" t="n">
        <v>2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Gullklöver
Spindelblomster</t>
        </is>
      </c>
      <c r="S213">
        <f>HYPERLINK("https://klasma.github.io/Logging_0686/artfynd/A 46762-2024 artfynd.xlsx", "A 46762-2024")</f>
        <v/>
      </c>
      <c r="T213">
        <f>HYPERLINK("https://klasma.github.io/Logging_0686/kartor/A 46762-2024 karta.png", "A 46762-2024")</f>
        <v/>
      </c>
      <c r="V213">
        <f>HYPERLINK("https://klasma.github.io/Logging_0686/klagomål/A 46762-2024 FSC-klagomål.docx", "A 46762-2024")</f>
        <v/>
      </c>
      <c r="W213">
        <f>HYPERLINK("https://klasma.github.io/Logging_0686/klagomålsmail/A 46762-2024 FSC-klagomål mail.docx", "A 46762-2024")</f>
        <v/>
      </c>
      <c r="X213">
        <f>HYPERLINK("https://klasma.github.io/Logging_0686/tillsyn/A 46762-2024 tillsynsbegäran.docx", "A 46762-2024")</f>
        <v/>
      </c>
      <c r="Y213">
        <f>HYPERLINK("https://klasma.github.io/Logging_0686/tillsynsmail/A 46762-2024 tillsynsbegäran mail.docx", "A 46762-2024")</f>
        <v/>
      </c>
    </row>
    <row r="214" ht="15" customHeight="1">
      <c r="A214" t="inlineStr">
        <is>
          <t>A 47483-2024</t>
        </is>
      </c>
      <c r="B214" s="1" t="n">
        <v>45587</v>
      </c>
      <c r="C214" s="1" t="n">
        <v>45799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Blomkålssvamp
Blåmossa</t>
        </is>
      </c>
      <c r="S214">
        <f>HYPERLINK("https://klasma.github.io/Logging_0680/artfynd/A 47483-2024 artfynd.xlsx", "A 47483-2024")</f>
        <v/>
      </c>
      <c r="T214">
        <f>HYPERLINK("https://klasma.github.io/Logging_0680/kartor/A 47483-2024 karta.png", "A 47483-2024")</f>
        <v/>
      </c>
      <c r="V214">
        <f>HYPERLINK("https://klasma.github.io/Logging_0680/klagomål/A 47483-2024 FSC-klagomål.docx", "A 47483-2024")</f>
        <v/>
      </c>
      <c r="W214">
        <f>HYPERLINK("https://klasma.github.io/Logging_0680/klagomålsmail/A 47483-2024 FSC-klagomål mail.docx", "A 47483-2024")</f>
        <v/>
      </c>
      <c r="X214">
        <f>HYPERLINK("https://klasma.github.io/Logging_0680/tillsyn/A 47483-2024 tillsynsbegäran.docx", "A 47483-2024")</f>
        <v/>
      </c>
      <c r="Y214">
        <f>HYPERLINK("https://klasma.github.io/Logging_0680/tillsynsmail/A 47483-2024 tillsynsbegäran mail.docx", "A 47483-2024")</f>
        <v/>
      </c>
    </row>
    <row r="215" ht="15" customHeight="1">
      <c r="A215" t="inlineStr">
        <is>
          <t>A 47346-2024</t>
        </is>
      </c>
      <c r="B215" s="1" t="n">
        <v>45587</v>
      </c>
      <c r="C215" s="1" t="n">
        <v>45799</v>
      </c>
      <c r="D215" t="inlineStr">
        <is>
          <t>JÖNKÖPINGS LÄN</t>
        </is>
      </c>
      <c r="E215" t="inlineStr">
        <is>
          <t>VETLANDA</t>
        </is>
      </c>
      <c r="G215" t="n">
        <v>1.1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Blåsippa
Revlummer</t>
        </is>
      </c>
      <c r="S215">
        <f>HYPERLINK("https://klasma.github.io/Logging_0685/artfynd/A 47346-2024 artfynd.xlsx", "A 47346-2024")</f>
        <v/>
      </c>
      <c r="T215">
        <f>HYPERLINK("https://klasma.github.io/Logging_0685/kartor/A 47346-2024 karta.png", "A 47346-2024")</f>
        <v/>
      </c>
      <c r="V215">
        <f>HYPERLINK("https://klasma.github.io/Logging_0685/klagomål/A 47346-2024 FSC-klagomål.docx", "A 47346-2024")</f>
        <v/>
      </c>
      <c r="W215">
        <f>HYPERLINK("https://klasma.github.io/Logging_0685/klagomålsmail/A 47346-2024 FSC-klagomål mail.docx", "A 47346-2024")</f>
        <v/>
      </c>
      <c r="X215">
        <f>HYPERLINK("https://klasma.github.io/Logging_0685/tillsyn/A 47346-2024 tillsynsbegäran.docx", "A 47346-2024")</f>
        <v/>
      </c>
      <c r="Y215">
        <f>HYPERLINK("https://klasma.github.io/Logging_0685/tillsynsmail/A 47346-2024 tillsynsbegäran mail.docx", "A 47346-2024")</f>
        <v/>
      </c>
    </row>
    <row r="216" ht="15" customHeight="1">
      <c r="A216" t="inlineStr">
        <is>
          <t>A 48278-2024</t>
        </is>
      </c>
      <c r="B216" s="1" t="n">
        <v>45590</v>
      </c>
      <c r="C216" s="1" t="n">
        <v>45799</v>
      </c>
      <c r="D216" t="inlineStr">
        <is>
          <t>JÖNKÖPINGS LÄN</t>
        </is>
      </c>
      <c r="E216" t="inlineStr">
        <is>
          <t>VÄRNAMO</t>
        </is>
      </c>
      <c r="G216" t="n">
        <v>3.7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Järpe
Spillkråka</t>
        </is>
      </c>
      <c r="S216">
        <f>HYPERLINK("https://klasma.github.io/Logging_0683/artfynd/A 48278-2024 artfynd.xlsx", "A 48278-2024")</f>
        <v/>
      </c>
      <c r="T216">
        <f>HYPERLINK("https://klasma.github.io/Logging_0683/kartor/A 48278-2024 karta.png", "A 48278-2024")</f>
        <v/>
      </c>
      <c r="V216">
        <f>HYPERLINK("https://klasma.github.io/Logging_0683/klagomål/A 48278-2024 FSC-klagomål.docx", "A 48278-2024")</f>
        <v/>
      </c>
      <c r="W216">
        <f>HYPERLINK("https://klasma.github.io/Logging_0683/klagomålsmail/A 48278-2024 FSC-klagomål mail.docx", "A 48278-2024")</f>
        <v/>
      </c>
      <c r="X216">
        <f>HYPERLINK("https://klasma.github.io/Logging_0683/tillsyn/A 48278-2024 tillsynsbegäran.docx", "A 48278-2024")</f>
        <v/>
      </c>
      <c r="Y216">
        <f>HYPERLINK("https://klasma.github.io/Logging_0683/tillsynsmail/A 48278-2024 tillsynsbegäran mail.docx", "A 48278-2024")</f>
        <v/>
      </c>
      <c r="Z216">
        <f>HYPERLINK("https://klasma.github.io/Logging_0683/fåglar/A 48278-2024 prioriterade fågelarter.docx", "A 48278-2024")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45799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45799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45799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45799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45799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45799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45799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45799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45799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45799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45799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45799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45799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45799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45799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24572-2025</t>
        </is>
      </c>
      <c r="B232" s="1" t="n">
        <v>45798</v>
      </c>
      <c r="C232" s="1" t="n">
        <v>45799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Västlig hakmossa</t>
        </is>
      </c>
      <c r="S232">
        <f>HYPERLINK("https://klasma.github.io/Logging_060662/artfynd/A 24572-2025 artfynd.xlsx", "A 24572-2025")</f>
        <v/>
      </c>
      <c r="T232">
        <f>HYPERLINK("https://klasma.github.io/Logging_060662/kartor/A 24572-2025 karta.png", "A 24572-2025")</f>
        <v/>
      </c>
      <c r="U232">
        <f>HYPERLINK("https://klasma.github.io/Logging_060662/knärot/A 24572-2025 karta knärot.png", "A 24572-2025")</f>
        <v/>
      </c>
      <c r="V232">
        <f>HYPERLINK("https://klasma.github.io/Logging_060662/klagomål/A 24572-2025 FSC-klagomål.docx", "A 24572-2025")</f>
        <v/>
      </c>
      <c r="W232">
        <f>HYPERLINK("https://klasma.github.io/Logging_060662/klagomålsmail/A 24572-2025 FSC-klagomål mail.docx", "A 24572-2025")</f>
        <v/>
      </c>
      <c r="X232">
        <f>HYPERLINK("https://klasma.github.io/Logging_060662/tillsyn/A 24572-2025 tillsynsbegäran.docx", "A 24572-2025")</f>
        <v/>
      </c>
      <c r="Y232">
        <f>HYPERLINK("https://klasma.github.io/Logging_060662/tillsynsmail/A 24572-2025 tillsynsbegäran mail.docx", "A 24572-2025")</f>
        <v/>
      </c>
    </row>
    <row r="233" ht="15" customHeight="1">
      <c r="A233" t="inlineStr">
        <is>
          <t>A 20003-2019</t>
        </is>
      </c>
      <c r="B233" s="1" t="n">
        <v>43570</v>
      </c>
      <c r="C233" s="1" t="n">
        <v>45799</v>
      </c>
      <c r="D233" t="inlineStr">
        <is>
          <t>JÖNKÖPINGS LÄN</t>
        </is>
      </c>
      <c r="E233" t="inlineStr">
        <is>
          <t>VÄRNAMO</t>
        </is>
      </c>
      <c r="G233" t="n">
        <v>4.7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Skogsödla</t>
        </is>
      </c>
      <c r="S233">
        <f>HYPERLINK("https://klasma.github.io/Logging_0683/artfynd/A 20003-2019 artfynd.xlsx", "A 20003-2019")</f>
        <v/>
      </c>
      <c r="T233">
        <f>HYPERLINK("https://klasma.github.io/Logging_0683/kartor/A 20003-2019 karta.png", "A 20003-2019")</f>
        <v/>
      </c>
      <c r="V233">
        <f>HYPERLINK("https://klasma.github.io/Logging_0683/klagomål/A 20003-2019 FSC-klagomål.docx", "A 20003-2019")</f>
        <v/>
      </c>
      <c r="W233">
        <f>HYPERLINK("https://klasma.github.io/Logging_0683/klagomålsmail/A 20003-2019 FSC-klagomål mail.docx", "A 20003-2019")</f>
        <v/>
      </c>
      <c r="X233">
        <f>HYPERLINK("https://klasma.github.io/Logging_0683/tillsyn/A 20003-2019 tillsynsbegäran.docx", "A 20003-2019")</f>
        <v/>
      </c>
      <c r="Y233">
        <f>HYPERLINK("https://klasma.github.io/Logging_0683/tillsynsmail/A 20003-2019 tillsynsbegäran mail.docx", "A 20003-2019")</f>
        <v/>
      </c>
    </row>
    <row r="234" ht="15" customHeight="1">
      <c r="A234" t="inlineStr">
        <is>
          <t>A 20306-2019</t>
        </is>
      </c>
      <c r="B234" s="1" t="n">
        <v>43571</v>
      </c>
      <c r="C234" s="1" t="n">
        <v>45799</v>
      </c>
      <c r="D234" t="inlineStr">
        <is>
          <t>JÖNKÖPINGS LÄN</t>
        </is>
      </c>
      <c r="E234" t="inlineStr">
        <is>
          <t>VETLANDA</t>
        </is>
      </c>
      <c r="G234" t="n">
        <v>8.800000000000001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HYPERLINK("https://klasma.github.io/Logging_0685/artfynd/A 20306-2019 artfynd.xlsx", "A 20306-2019")</f>
        <v/>
      </c>
      <c r="T234">
        <f>HYPERLINK("https://klasma.github.io/Logging_0685/kartor/A 20306-2019 karta.png", "A 20306-2019")</f>
        <v/>
      </c>
      <c r="V234">
        <f>HYPERLINK("https://klasma.github.io/Logging_0685/klagomål/A 20306-2019 FSC-klagomål.docx", "A 20306-2019")</f>
        <v/>
      </c>
      <c r="W234">
        <f>HYPERLINK("https://klasma.github.io/Logging_0685/klagomålsmail/A 20306-2019 FSC-klagomål mail.docx", "A 20306-2019")</f>
        <v/>
      </c>
      <c r="X234">
        <f>HYPERLINK("https://klasma.github.io/Logging_0685/tillsyn/A 20306-2019 tillsynsbegäran.docx", "A 20306-2019")</f>
        <v/>
      </c>
      <c r="Y234">
        <f>HYPERLINK("https://klasma.github.io/Logging_0685/tillsynsmail/A 20306-2019 tillsynsbegäran mail.docx", "A 20306-2019")</f>
        <v/>
      </c>
    </row>
    <row r="235" ht="15" customHeight="1">
      <c r="A235" t="inlineStr">
        <is>
          <t>A 20308-2019</t>
        </is>
      </c>
      <c r="B235" s="1" t="n">
        <v>43571</v>
      </c>
      <c r="C235" s="1" t="n">
        <v>45799</v>
      </c>
      <c r="D235" t="inlineStr">
        <is>
          <t>JÖNKÖPINGS LÄN</t>
        </is>
      </c>
      <c r="E235" t="inlineStr">
        <is>
          <t>VETLANDA</t>
        </is>
      </c>
      <c r="G235" t="n">
        <v>7.1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HYPERLINK("https://klasma.github.io/Logging_0685/artfynd/A 20308-2019 artfynd.xlsx", "A 20308-2019")</f>
        <v/>
      </c>
      <c r="T235">
        <f>HYPERLINK("https://klasma.github.io/Logging_0685/kartor/A 20308-2019 karta.png", "A 20308-2019")</f>
        <v/>
      </c>
      <c r="U235">
        <f>HYPERLINK("https://klasma.github.io/Logging_0685/knärot/A 20308-2019 karta knärot.png", "A 20308-2019")</f>
        <v/>
      </c>
      <c r="V235">
        <f>HYPERLINK("https://klasma.github.io/Logging_0685/klagomål/A 20308-2019 FSC-klagomål.docx", "A 20308-2019")</f>
        <v/>
      </c>
      <c r="W235">
        <f>HYPERLINK("https://klasma.github.io/Logging_0685/klagomålsmail/A 20308-2019 FSC-klagomål mail.docx", "A 20308-2019")</f>
        <v/>
      </c>
      <c r="X235">
        <f>HYPERLINK("https://klasma.github.io/Logging_0685/tillsyn/A 20308-2019 tillsynsbegäran.docx", "A 20308-2019")</f>
        <v/>
      </c>
      <c r="Y235">
        <f>HYPERLINK("https://klasma.github.io/Logging_0685/tillsynsmail/A 20308-2019 tillsynsbegäran mail.docx", "A 20308-2019")</f>
        <v/>
      </c>
    </row>
    <row r="236" ht="15" customHeight="1">
      <c r="A236" t="inlineStr">
        <is>
          <t>A 22477-2019</t>
        </is>
      </c>
      <c r="B236" s="1" t="n">
        <v>43587</v>
      </c>
      <c r="C236" s="1" t="n">
        <v>45799</v>
      </c>
      <c r="D236" t="inlineStr">
        <is>
          <t>JÖNKÖPINGS LÄN</t>
        </is>
      </c>
      <c r="E236" t="inlineStr">
        <is>
          <t>TRANÅS</t>
        </is>
      </c>
      <c r="F236" t="inlineStr">
        <is>
          <t>Kyrkan</t>
        </is>
      </c>
      <c r="G236" t="n">
        <v>5.5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HYPERLINK("https://klasma.github.io/Logging_0687/artfynd/A 22477-2019 artfynd.xlsx", "A 22477-2019")</f>
        <v/>
      </c>
      <c r="T236">
        <f>HYPERLINK("https://klasma.github.io/Logging_0687/kartor/A 22477-2019 karta.png", "A 22477-2019")</f>
        <v/>
      </c>
      <c r="V236">
        <f>HYPERLINK("https://klasma.github.io/Logging_0687/klagomål/A 22477-2019 FSC-klagomål.docx", "A 22477-2019")</f>
        <v/>
      </c>
      <c r="W236">
        <f>HYPERLINK("https://klasma.github.io/Logging_0687/klagomålsmail/A 22477-2019 FSC-klagomål mail.docx", "A 22477-2019")</f>
        <v/>
      </c>
      <c r="X236">
        <f>HYPERLINK("https://klasma.github.io/Logging_0687/tillsyn/A 22477-2019 tillsynsbegäran.docx", "A 22477-2019")</f>
        <v/>
      </c>
      <c r="Y236">
        <f>HYPERLINK("https://klasma.github.io/Logging_0687/tillsynsmail/A 22477-2019 tillsynsbegäran mail.docx", "A 22477-2019")</f>
        <v/>
      </c>
    </row>
    <row r="237" ht="15" customHeight="1">
      <c r="A237" t="inlineStr">
        <is>
          <t>A 23988-2019</t>
        </is>
      </c>
      <c r="B237" s="1" t="n">
        <v>43595</v>
      </c>
      <c r="C237" s="1" t="n">
        <v>45799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Strutbräken</t>
        </is>
      </c>
      <c r="S237">
        <f>HYPERLINK("https://klasma.github.io/Logging_0685/artfynd/A 23988-2019 artfynd.xlsx", "A 23988-2019")</f>
        <v/>
      </c>
      <c r="T237">
        <f>HYPERLINK("https://klasma.github.io/Logging_0685/kartor/A 23988-2019 karta.png", "A 23988-2019")</f>
        <v/>
      </c>
      <c r="V237">
        <f>HYPERLINK("https://klasma.github.io/Logging_0685/klagomål/A 23988-2019 FSC-klagomål.docx", "A 23988-2019")</f>
        <v/>
      </c>
      <c r="W237">
        <f>HYPERLINK("https://klasma.github.io/Logging_0685/klagomålsmail/A 23988-2019 FSC-klagomål mail.docx", "A 23988-2019")</f>
        <v/>
      </c>
      <c r="X237">
        <f>HYPERLINK("https://klasma.github.io/Logging_0685/tillsyn/A 23988-2019 tillsynsbegäran.docx", "A 23988-2019")</f>
        <v/>
      </c>
      <c r="Y237">
        <f>HYPERLINK("https://klasma.github.io/Logging_0685/tillsynsmail/A 23988-2019 tillsynsbegäran mail.docx", "A 23988-2019")</f>
        <v/>
      </c>
    </row>
    <row r="238" ht="15" customHeight="1">
      <c r="A238" t="inlineStr">
        <is>
          <t>A 25880-2019</t>
        </is>
      </c>
      <c r="B238" s="1" t="n">
        <v>43605</v>
      </c>
      <c r="C238" s="1" t="n">
        <v>45799</v>
      </c>
      <c r="D238" t="inlineStr">
        <is>
          <t>JÖNKÖPINGS LÄN</t>
        </is>
      </c>
      <c r="E238" t="inlineStr">
        <is>
          <t>VETLANDA</t>
        </is>
      </c>
      <c r="F238" t="inlineStr">
        <is>
          <t>Kommuner</t>
        </is>
      </c>
      <c r="G238" t="n">
        <v>4.8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HYPERLINK("https://klasma.github.io/Logging_0685/artfynd/A 25880-2019 artfynd.xlsx", "A 25880-2019")</f>
        <v/>
      </c>
      <c r="T238">
        <f>HYPERLINK("https://klasma.github.io/Logging_0685/kartor/A 25880-2019 karta.png", "A 25880-2019")</f>
        <v/>
      </c>
      <c r="U238">
        <f>HYPERLINK("https://klasma.github.io/Logging_0685/knärot/A 25880-2019 karta knärot.png", "A 25880-2019")</f>
        <v/>
      </c>
      <c r="V238">
        <f>HYPERLINK("https://klasma.github.io/Logging_0685/klagomål/A 25880-2019 FSC-klagomål.docx", "A 25880-2019")</f>
        <v/>
      </c>
      <c r="W238">
        <f>HYPERLINK("https://klasma.github.io/Logging_0685/klagomålsmail/A 25880-2019 FSC-klagomål mail.docx", "A 25880-2019")</f>
        <v/>
      </c>
      <c r="X238">
        <f>HYPERLINK("https://klasma.github.io/Logging_0685/tillsyn/A 25880-2019 tillsynsbegäran.docx", "A 25880-2019")</f>
        <v/>
      </c>
      <c r="Y238">
        <f>HYPERLINK("https://klasma.github.io/Logging_0685/tillsynsmail/A 25880-2019 tillsynsbegäran mail.docx", "A 25880-2019")</f>
        <v/>
      </c>
    </row>
    <row r="239" ht="15" customHeight="1">
      <c r="A239" t="inlineStr">
        <is>
          <t>A 25827-2019</t>
        </is>
      </c>
      <c r="B239" s="1" t="n">
        <v>43608</v>
      </c>
      <c r="C239" s="1" t="n">
        <v>45799</v>
      </c>
      <c r="D239" t="inlineStr">
        <is>
          <t>JÖNKÖPINGS LÄN</t>
        </is>
      </c>
      <c r="E239" t="inlineStr">
        <is>
          <t>NÄSSJÖ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Åkerrättika</t>
        </is>
      </c>
      <c r="S239">
        <f>HYPERLINK("https://klasma.github.io/Logging_0682/artfynd/A 25827-2019 artfynd.xlsx", "A 25827-2019")</f>
        <v/>
      </c>
      <c r="T239">
        <f>HYPERLINK("https://klasma.github.io/Logging_0682/kartor/A 25827-2019 karta.png", "A 25827-2019")</f>
        <v/>
      </c>
      <c r="V239">
        <f>HYPERLINK("https://klasma.github.io/Logging_0682/klagomål/A 25827-2019 FSC-klagomål.docx", "A 25827-2019")</f>
        <v/>
      </c>
      <c r="W239">
        <f>HYPERLINK("https://klasma.github.io/Logging_0682/klagomålsmail/A 25827-2019 FSC-klagomål mail.docx", "A 25827-2019")</f>
        <v/>
      </c>
      <c r="X239">
        <f>HYPERLINK("https://klasma.github.io/Logging_0682/tillsyn/A 25827-2019 tillsynsbegäran.docx", "A 25827-2019")</f>
        <v/>
      </c>
      <c r="Y239">
        <f>HYPERLINK("https://klasma.github.io/Logging_0682/tillsynsmail/A 25827-2019 tillsynsbegäran mail.docx", "A 25827-2019")</f>
        <v/>
      </c>
    </row>
    <row r="240" ht="15" customHeight="1">
      <c r="A240" t="inlineStr">
        <is>
          <t>A 26905-2019</t>
        </is>
      </c>
      <c r="B240" s="1" t="n">
        <v>43609</v>
      </c>
      <c r="C240" s="1" t="n">
        <v>45799</v>
      </c>
      <c r="D240" t="inlineStr">
        <is>
          <t>JÖNKÖPINGS LÄN</t>
        </is>
      </c>
      <c r="E240" t="inlineStr">
        <is>
          <t>JÖNKÖPING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Kustdaggkåpa</t>
        </is>
      </c>
      <c r="S240">
        <f>HYPERLINK("https://klasma.github.io/Logging_0680/artfynd/A 26905-2019 artfynd.xlsx", "A 26905-2019")</f>
        <v/>
      </c>
      <c r="T240">
        <f>HYPERLINK("https://klasma.github.io/Logging_0680/kartor/A 26905-2019 karta.png", "A 26905-2019")</f>
        <v/>
      </c>
      <c r="V240">
        <f>HYPERLINK("https://klasma.github.io/Logging_0680/klagomål/A 26905-2019 FSC-klagomål.docx", "A 26905-2019")</f>
        <v/>
      </c>
      <c r="W240">
        <f>HYPERLINK("https://klasma.github.io/Logging_0680/klagomålsmail/A 26905-2019 FSC-klagomål mail.docx", "A 26905-2019")</f>
        <v/>
      </c>
      <c r="X240">
        <f>HYPERLINK("https://klasma.github.io/Logging_0680/tillsyn/A 26905-2019 tillsynsbegäran.docx", "A 26905-2019")</f>
        <v/>
      </c>
      <c r="Y240">
        <f>HYPERLINK("https://klasma.github.io/Logging_0680/tillsynsmail/A 26905-2019 tillsynsbegäran mail.docx", "A 26905-2019")</f>
        <v/>
      </c>
    </row>
    <row r="241" ht="15" customHeight="1">
      <c r="A241" t="inlineStr">
        <is>
          <t>A 26583-2019</t>
        </is>
      </c>
      <c r="B241" s="1" t="n">
        <v>43612</v>
      </c>
      <c r="C241" s="1" t="n">
        <v>45799</v>
      </c>
      <c r="D241" t="inlineStr">
        <is>
          <t>JÖNKÖPINGS LÄN</t>
        </is>
      </c>
      <c r="E241" t="inlineStr">
        <is>
          <t>ANEBY</t>
        </is>
      </c>
      <c r="G241" t="n">
        <v>5.8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HYPERLINK("https://klasma.github.io/Logging_0604/artfynd/A 26583-2019 artfynd.xlsx", "A 26583-2019")</f>
        <v/>
      </c>
      <c r="T241">
        <f>HYPERLINK("https://klasma.github.io/Logging_0604/kartor/A 26583-2019 karta.png", "A 26583-2019")</f>
        <v/>
      </c>
      <c r="V241">
        <f>HYPERLINK("https://klasma.github.io/Logging_0604/klagomål/A 26583-2019 FSC-klagomål.docx", "A 26583-2019")</f>
        <v/>
      </c>
      <c r="W241">
        <f>HYPERLINK("https://klasma.github.io/Logging_0604/klagomålsmail/A 26583-2019 FSC-klagomål mail.docx", "A 26583-2019")</f>
        <v/>
      </c>
      <c r="X241">
        <f>HYPERLINK("https://klasma.github.io/Logging_0604/tillsyn/A 26583-2019 tillsynsbegäran.docx", "A 26583-2019")</f>
        <v/>
      </c>
      <c r="Y241">
        <f>HYPERLINK("https://klasma.github.io/Logging_0604/tillsynsmail/A 26583-2019 tillsynsbegäran mail.docx", "A 26583-2019")</f>
        <v/>
      </c>
    </row>
    <row r="242" ht="15" customHeight="1">
      <c r="A242" t="inlineStr">
        <is>
          <t>A 26629-2019</t>
        </is>
      </c>
      <c r="B242" s="1" t="n">
        <v>43612</v>
      </c>
      <c r="C242" s="1" t="n">
        <v>45799</v>
      </c>
      <c r="D242" t="inlineStr">
        <is>
          <t>JÖNKÖPINGS LÄN</t>
        </is>
      </c>
      <c r="E242" t="inlineStr">
        <is>
          <t>TRANÅS</t>
        </is>
      </c>
      <c r="G242" t="n">
        <v>11.2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HYPERLINK("https://klasma.github.io/Logging_0687/artfynd/A 26629-2019 artfynd.xlsx", "A 26629-2019")</f>
        <v/>
      </c>
      <c r="T242">
        <f>HYPERLINK("https://klasma.github.io/Logging_0687/kartor/A 26629-2019 karta.png", "A 26629-2019")</f>
        <v/>
      </c>
      <c r="V242">
        <f>HYPERLINK("https://klasma.github.io/Logging_0687/klagomål/A 26629-2019 FSC-klagomål.docx", "A 26629-2019")</f>
        <v/>
      </c>
      <c r="W242">
        <f>HYPERLINK("https://klasma.github.io/Logging_0687/klagomålsmail/A 26629-2019 FSC-klagomål mail.docx", "A 26629-2019")</f>
        <v/>
      </c>
      <c r="X242">
        <f>HYPERLINK("https://klasma.github.io/Logging_0687/tillsyn/A 26629-2019 tillsynsbegäran.docx", "A 26629-2019")</f>
        <v/>
      </c>
      <c r="Y242">
        <f>HYPERLINK("https://klasma.github.io/Logging_0687/tillsynsmail/A 26629-2019 tillsynsbegäran mail.docx", "A 26629-2019")</f>
        <v/>
      </c>
    </row>
    <row r="243" ht="15" customHeight="1">
      <c r="A243" t="inlineStr">
        <is>
          <t>A 28694-2019</t>
        </is>
      </c>
      <c r="B243" s="1" t="n">
        <v>43614</v>
      </c>
      <c r="C243" s="1" t="n">
        <v>45799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HYPERLINK("https://klasma.github.io/Logging_0680/artfynd/A 28694-2019 artfynd.xlsx", "A 28694-2019")</f>
        <v/>
      </c>
      <c r="T243">
        <f>HYPERLINK("https://klasma.github.io/Logging_0680/kartor/A 28694-2019 karta.png", "A 28694-2019")</f>
        <v/>
      </c>
      <c r="U243">
        <f>HYPERLINK("https://klasma.github.io/Logging_0680/knärot/A 28694-2019 karta knärot.png", "A 28694-2019")</f>
        <v/>
      </c>
      <c r="V243">
        <f>HYPERLINK("https://klasma.github.io/Logging_0680/klagomål/A 28694-2019 FSC-klagomål.docx", "A 28694-2019")</f>
        <v/>
      </c>
      <c r="W243">
        <f>HYPERLINK("https://klasma.github.io/Logging_0680/klagomålsmail/A 28694-2019 FSC-klagomål mail.docx", "A 28694-2019")</f>
        <v/>
      </c>
      <c r="X243">
        <f>HYPERLINK("https://klasma.github.io/Logging_0680/tillsyn/A 28694-2019 tillsynsbegäran.docx", "A 28694-2019")</f>
        <v/>
      </c>
      <c r="Y243">
        <f>HYPERLINK("https://klasma.github.io/Logging_0680/tillsynsmail/A 28694-2019 tillsynsbegäran mail.docx", "A 28694-2019")</f>
        <v/>
      </c>
    </row>
    <row r="244" ht="15" customHeight="1">
      <c r="A244" t="inlineStr">
        <is>
          <t>A 28682-2019</t>
        </is>
      </c>
      <c r="B244" s="1" t="n">
        <v>43627</v>
      </c>
      <c r="C244" s="1" t="n">
        <v>45799</v>
      </c>
      <c r="D244" t="inlineStr">
        <is>
          <t>JÖNKÖPINGS LÄN</t>
        </is>
      </c>
      <c r="E244" t="inlineStr">
        <is>
          <t>JÖNKÖPING</t>
        </is>
      </c>
      <c r="G244" t="n">
        <v>8.9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Grönvit nattviol</t>
        </is>
      </c>
      <c r="S244">
        <f>HYPERLINK("https://klasma.github.io/Logging_0680/artfynd/A 28682-2019 artfynd.xlsx", "A 28682-2019")</f>
        <v/>
      </c>
      <c r="T244">
        <f>HYPERLINK("https://klasma.github.io/Logging_0680/kartor/A 28682-2019 karta.png", "A 28682-2019")</f>
        <v/>
      </c>
      <c r="V244">
        <f>HYPERLINK("https://klasma.github.io/Logging_0680/klagomål/A 28682-2019 FSC-klagomål.docx", "A 28682-2019")</f>
        <v/>
      </c>
      <c r="W244">
        <f>HYPERLINK("https://klasma.github.io/Logging_0680/klagomålsmail/A 28682-2019 FSC-klagomål mail.docx", "A 28682-2019")</f>
        <v/>
      </c>
      <c r="X244">
        <f>HYPERLINK("https://klasma.github.io/Logging_0680/tillsyn/A 28682-2019 tillsynsbegäran.docx", "A 28682-2019")</f>
        <v/>
      </c>
      <c r="Y244">
        <f>HYPERLINK("https://klasma.github.io/Logging_0680/tillsynsmail/A 28682-2019 tillsynsbegäran mail.docx", "A 28682-2019")</f>
        <v/>
      </c>
    </row>
    <row r="245" ht="15" customHeight="1">
      <c r="A245" t="inlineStr">
        <is>
          <t>A 30971-2019</t>
        </is>
      </c>
      <c r="B245" s="1" t="n">
        <v>43639</v>
      </c>
      <c r="C245" s="1" t="n">
        <v>45799</v>
      </c>
      <c r="D245" t="inlineStr">
        <is>
          <t>JÖNKÖPINGS LÄN</t>
        </is>
      </c>
      <c r="E245" t="inlineStr">
        <is>
          <t>VETLANDA</t>
        </is>
      </c>
      <c r="G245" t="n">
        <v>10.7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Vanlig padda</t>
        </is>
      </c>
      <c r="S245">
        <f>HYPERLINK("https://klasma.github.io/Logging_0685/artfynd/A 30971-2019 artfynd.xlsx", "A 30971-2019")</f>
        <v/>
      </c>
      <c r="T245">
        <f>HYPERLINK("https://klasma.github.io/Logging_0685/kartor/A 30971-2019 karta.png", "A 30971-2019")</f>
        <v/>
      </c>
      <c r="V245">
        <f>HYPERLINK("https://klasma.github.io/Logging_0685/klagomål/A 30971-2019 FSC-klagomål.docx", "A 30971-2019")</f>
        <v/>
      </c>
      <c r="W245">
        <f>HYPERLINK("https://klasma.github.io/Logging_0685/klagomålsmail/A 30971-2019 FSC-klagomål mail.docx", "A 30971-2019")</f>
        <v/>
      </c>
      <c r="X245">
        <f>HYPERLINK("https://klasma.github.io/Logging_0685/tillsyn/A 30971-2019 tillsynsbegäran.docx", "A 30971-2019")</f>
        <v/>
      </c>
      <c r="Y245">
        <f>HYPERLINK("https://klasma.github.io/Logging_0685/tillsynsmail/A 30971-2019 tillsynsbegäran mail.docx", "A 30971-2019")</f>
        <v/>
      </c>
    </row>
    <row r="246" ht="15" customHeight="1">
      <c r="A246" t="inlineStr">
        <is>
          <t>A 34059-2019</t>
        </is>
      </c>
      <c r="B246" s="1" t="n">
        <v>43654</v>
      </c>
      <c r="C246" s="1" t="n">
        <v>45799</v>
      </c>
      <c r="D246" t="inlineStr">
        <is>
          <t>JÖNKÖPINGS LÄN</t>
        </is>
      </c>
      <c r="E246" t="inlineStr">
        <is>
          <t>MULLSJÖ</t>
        </is>
      </c>
      <c r="G246" t="n">
        <v>4.6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HYPERLINK("https://klasma.github.io/Logging_0642/artfynd/A 34059-2019 artfynd.xlsx", "A 34059-2019")</f>
        <v/>
      </c>
      <c r="T246">
        <f>HYPERLINK("https://klasma.github.io/Logging_0642/kartor/A 34059-2019 karta.png", "A 34059-2019")</f>
        <v/>
      </c>
      <c r="V246">
        <f>HYPERLINK("https://klasma.github.io/Logging_0642/klagomål/A 34059-2019 FSC-klagomål.docx", "A 34059-2019")</f>
        <v/>
      </c>
      <c r="W246">
        <f>HYPERLINK("https://klasma.github.io/Logging_0642/klagomålsmail/A 34059-2019 FSC-klagomål mail.docx", "A 34059-2019")</f>
        <v/>
      </c>
      <c r="X246">
        <f>HYPERLINK("https://klasma.github.io/Logging_0642/tillsyn/A 34059-2019 tillsynsbegäran.docx", "A 34059-2019")</f>
        <v/>
      </c>
      <c r="Y246">
        <f>HYPERLINK("https://klasma.github.io/Logging_0642/tillsynsmail/A 34059-2019 tillsynsbegäran mail.docx", "A 34059-2019")</f>
        <v/>
      </c>
      <c r="Z246">
        <f>HYPERLINK("https://klasma.github.io/Logging_0642/fåglar/A 34059-2019 prioriterade fågelarter.docx", "A 34059-2019")</f>
        <v/>
      </c>
    </row>
    <row r="247" ht="15" customHeight="1">
      <c r="A247" t="inlineStr">
        <is>
          <t>A 35825-2019</t>
        </is>
      </c>
      <c r="B247" s="1" t="n">
        <v>43665</v>
      </c>
      <c r="C247" s="1" t="n">
        <v>45799</v>
      </c>
      <c r="D247" t="inlineStr">
        <is>
          <t>JÖNKÖPINGS LÄN</t>
        </is>
      </c>
      <c r="E247" t="inlineStr">
        <is>
          <t>JÖNKÖPING</t>
        </is>
      </c>
      <c r="G247" t="n">
        <v>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HYPERLINK("https://klasma.github.io/Logging_0680/artfynd/A 35825-2019 artfynd.xlsx", "A 35825-2019")</f>
        <v/>
      </c>
      <c r="T247">
        <f>HYPERLINK("https://klasma.github.io/Logging_0680/kartor/A 35825-2019 karta.png", "A 35825-2019")</f>
        <v/>
      </c>
      <c r="U247">
        <f>HYPERLINK("https://klasma.github.io/Logging_0680/knärot/A 35825-2019 karta knärot.png", "A 35825-2019")</f>
        <v/>
      </c>
      <c r="V247">
        <f>HYPERLINK("https://klasma.github.io/Logging_0680/klagomål/A 35825-2019 FSC-klagomål.docx", "A 35825-2019")</f>
        <v/>
      </c>
      <c r="W247">
        <f>HYPERLINK("https://klasma.github.io/Logging_0680/klagomålsmail/A 35825-2019 FSC-klagomål mail.docx", "A 35825-2019")</f>
        <v/>
      </c>
      <c r="X247">
        <f>HYPERLINK("https://klasma.github.io/Logging_0680/tillsyn/A 35825-2019 tillsynsbegäran.docx", "A 35825-2019")</f>
        <v/>
      </c>
      <c r="Y247">
        <f>HYPERLINK("https://klasma.github.io/Logging_0680/tillsynsmail/A 35825-2019 tillsynsbegäran mail.docx", "A 35825-2019")</f>
        <v/>
      </c>
    </row>
    <row r="248" ht="15" customHeight="1">
      <c r="A248" t="inlineStr">
        <is>
          <t>A 37345-2019</t>
        </is>
      </c>
      <c r="B248" s="1" t="n">
        <v>43678</v>
      </c>
      <c r="C248" s="1" t="n">
        <v>45799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Sandödla</t>
        </is>
      </c>
      <c r="S248">
        <f>HYPERLINK("https://klasma.github.io/Logging_0662/artfynd/A 37345-2019 artfynd.xlsx", "A 37345-2019")</f>
        <v/>
      </c>
      <c r="T248">
        <f>HYPERLINK("https://klasma.github.io/Logging_0662/kartor/A 37345-2019 karta.png", "A 37345-2019")</f>
        <v/>
      </c>
      <c r="V248">
        <f>HYPERLINK("https://klasma.github.io/Logging_0662/klagomål/A 37345-2019 FSC-klagomål.docx", "A 37345-2019")</f>
        <v/>
      </c>
      <c r="W248">
        <f>HYPERLINK("https://klasma.github.io/Logging_0662/klagomålsmail/A 37345-2019 FSC-klagomål mail.docx", "A 37345-2019")</f>
        <v/>
      </c>
      <c r="X248">
        <f>HYPERLINK("https://klasma.github.io/Logging_0662/tillsyn/A 37345-2019 tillsynsbegäran.docx", "A 37345-2019")</f>
        <v/>
      </c>
      <c r="Y248">
        <f>HYPERLINK("https://klasma.github.io/Logging_0662/tillsynsmail/A 37345-2019 tillsynsbegäran mail.docx", "A 37345-2019")</f>
        <v/>
      </c>
    </row>
    <row r="249" ht="15" customHeight="1">
      <c r="A249" t="inlineStr">
        <is>
          <t>A 38365-2019</t>
        </is>
      </c>
      <c r="B249" s="1" t="n">
        <v>43685</v>
      </c>
      <c r="C249" s="1" t="n">
        <v>45799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HYPERLINK("https://klasma.github.io/Logging_0686/artfynd/A 38365-2019 artfynd.xlsx", "A 38365-2019")</f>
        <v/>
      </c>
      <c r="T249">
        <f>HYPERLINK("https://klasma.github.io/Logging_0686/kartor/A 38365-2019 karta.png", "A 38365-2019")</f>
        <v/>
      </c>
      <c r="U249">
        <f>HYPERLINK("https://klasma.github.io/Logging_0686/knärot/A 38365-2019 karta knärot.png", "A 38365-2019")</f>
        <v/>
      </c>
      <c r="V249">
        <f>HYPERLINK("https://klasma.github.io/Logging_0686/klagomål/A 38365-2019 FSC-klagomål.docx", "A 38365-2019")</f>
        <v/>
      </c>
      <c r="W249">
        <f>HYPERLINK("https://klasma.github.io/Logging_0686/klagomålsmail/A 38365-2019 FSC-klagomål mail.docx", "A 38365-2019")</f>
        <v/>
      </c>
      <c r="X249">
        <f>HYPERLINK("https://klasma.github.io/Logging_0686/tillsyn/A 38365-2019 tillsynsbegäran.docx", "A 38365-2019")</f>
        <v/>
      </c>
      <c r="Y249">
        <f>HYPERLINK("https://klasma.github.io/Logging_0686/tillsynsmail/A 38365-2019 tillsynsbegäran mail.docx", "A 38365-2019")</f>
        <v/>
      </c>
    </row>
    <row r="250" ht="15" customHeight="1">
      <c r="A250" t="inlineStr">
        <is>
          <t>A 40949-2019</t>
        </is>
      </c>
      <c r="B250" s="1" t="n">
        <v>43697</v>
      </c>
      <c r="C250" s="1" t="n">
        <v>45799</v>
      </c>
      <c r="D250" t="inlineStr">
        <is>
          <t>JÖNKÖPINGS LÄN</t>
        </is>
      </c>
      <c r="E250" t="inlineStr">
        <is>
          <t>TRANÅS</t>
        </is>
      </c>
      <c r="G250" t="n">
        <v>5.7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HYPERLINK("https://klasma.github.io/Logging_0687/artfynd/A 40949-2019 artfynd.xlsx", "A 40949-2019")</f>
        <v/>
      </c>
      <c r="T250">
        <f>HYPERLINK("https://klasma.github.io/Logging_0687/kartor/A 40949-2019 karta.png", "A 40949-2019")</f>
        <v/>
      </c>
      <c r="U250">
        <f>HYPERLINK("https://klasma.github.io/Logging_0687/knärot/A 40949-2019 karta knärot.png", "A 40949-2019")</f>
        <v/>
      </c>
      <c r="V250">
        <f>HYPERLINK("https://klasma.github.io/Logging_0687/klagomål/A 40949-2019 FSC-klagomål.docx", "A 40949-2019")</f>
        <v/>
      </c>
      <c r="W250">
        <f>HYPERLINK("https://klasma.github.io/Logging_0687/klagomålsmail/A 40949-2019 FSC-klagomål mail.docx", "A 40949-2019")</f>
        <v/>
      </c>
      <c r="X250">
        <f>HYPERLINK("https://klasma.github.io/Logging_0687/tillsyn/A 40949-2019 tillsynsbegäran.docx", "A 40949-2019")</f>
        <v/>
      </c>
      <c r="Y250">
        <f>HYPERLINK("https://klasma.github.io/Logging_0687/tillsynsmail/A 40949-2019 tillsynsbegäran mail.docx", "A 40949-2019")</f>
        <v/>
      </c>
    </row>
    <row r="251" ht="15" customHeight="1">
      <c r="A251" t="inlineStr">
        <is>
          <t>A 41226-2019</t>
        </is>
      </c>
      <c r="B251" s="1" t="n">
        <v>43698</v>
      </c>
      <c r="C251" s="1" t="n">
        <v>45799</v>
      </c>
      <c r="D251" t="inlineStr">
        <is>
          <t>JÖNKÖPINGS LÄN</t>
        </is>
      </c>
      <c r="E251" t="inlineStr">
        <is>
          <t>VAGGERYD</t>
        </is>
      </c>
      <c r="G251" t="n">
        <v>2.2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Gullviva</t>
        </is>
      </c>
      <c r="S251">
        <f>HYPERLINK("https://klasma.github.io/Logging_0665/artfynd/A 41226-2019 artfynd.xlsx", "A 41226-2019")</f>
        <v/>
      </c>
      <c r="T251">
        <f>HYPERLINK("https://klasma.github.io/Logging_0665/kartor/A 41226-2019 karta.png", "A 41226-2019")</f>
        <v/>
      </c>
      <c r="V251">
        <f>HYPERLINK("https://klasma.github.io/Logging_0665/klagomål/A 41226-2019 FSC-klagomål.docx", "A 41226-2019")</f>
        <v/>
      </c>
      <c r="W251">
        <f>HYPERLINK("https://klasma.github.io/Logging_0665/klagomålsmail/A 41226-2019 FSC-klagomål mail.docx", "A 41226-2019")</f>
        <v/>
      </c>
      <c r="X251">
        <f>HYPERLINK("https://klasma.github.io/Logging_0665/tillsyn/A 41226-2019 tillsynsbegäran.docx", "A 41226-2019")</f>
        <v/>
      </c>
      <c r="Y251">
        <f>HYPERLINK("https://klasma.github.io/Logging_0665/tillsynsmail/A 41226-2019 tillsynsbegäran mail.docx", "A 41226-2019")</f>
        <v/>
      </c>
    </row>
    <row r="252" ht="15" customHeight="1">
      <c r="A252" t="inlineStr">
        <is>
          <t>A 42132-2019</t>
        </is>
      </c>
      <c r="B252" s="1" t="n">
        <v>43703</v>
      </c>
      <c r="C252" s="1" t="n">
        <v>45799</v>
      </c>
      <c r="D252" t="inlineStr">
        <is>
          <t>JÖNKÖPINGS LÄN</t>
        </is>
      </c>
      <c r="E252" t="inlineStr">
        <is>
          <t>VAGGERYD</t>
        </is>
      </c>
      <c r="G252" t="n">
        <v>5.9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Fläcknycklar</t>
        </is>
      </c>
      <c r="S252">
        <f>HYPERLINK("https://klasma.github.io/Logging_0665/artfynd/A 42132-2019 artfynd.xlsx", "A 42132-2019")</f>
        <v/>
      </c>
      <c r="T252">
        <f>HYPERLINK("https://klasma.github.io/Logging_0665/kartor/A 42132-2019 karta.png", "A 42132-2019")</f>
        <v/>
      </c>
      <c r="V252">
        <f>HYPERLINK("https://klasma.github.io/Logging_0665/klagomål/A 42132-2019 FSC-klagomål.docx", "A 42132-2019")</f>
        <v/>
      </c>
      <c r="W252">
        <f>HYPERLINK("https://klasma.github.io/Logging_0665/klagomålsmail/A 42132-2019 FSC-klagomål mail.docx", "A 42132-2019")</f>
        <v/>
      </c>
      <c r="X252">
        <f>HYPERLINK("https://klasma.github.io/Logging_0665/tillsyn/A 42132-2019 tillsynsbegäran.docx", "A 42132-2019")</f>
        <v/>
      </c>
      <c r="Y252">
        <f>HYPERLINK("https://klasma.github.io/Logging_0665/tillsynsmail/A 42132-2019 tillsynsbegäran mail.docx", "A 42132-2019")</f>
        <v/>
      </c>
    </row>
    <row r="253" ht="15" customHeight="1">
      <c r="A253" t="inlineStr">
        <is>
          <t>A 45093-2019</t>
        </is>
      </c>
      <c r="B253" s="1" t="n">
        <v>43713</v>
      </c>
      <c r="C253" s="1" t="n">
        <v>45799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Dvärghäxört</t>
        </is>
      </c>
      <c r="S253">
        <f>HYPERLINK("https://klasma.github.io/Logging_0685/artfynd/A 45093-2019 artfynd.xlsx", "A 45093-2019")</f>
        <v/>
      </c>
      <c r="T253">
        <f>HYPERLINK("https://klasma.github.io/Logging_0685/kartor/A 45093-2019 karta.png", "A 45093-2019")</f>
        <v/>
      </c>
      <c r="V253">
        <f>HYPERLINK("https://klasma.github.io/Logging_0685/klagomål/A 45093-2019 FSC-klagomål.docx", "A 45093-2019")</f>
        <v/>
      </c>
      <c r="W253">
        <f>HYPERLINK("https://klasma.github.io/Logging_0685/klagomålsmail/A 45093-2019 FSC-klagomål mail.docx", "A 45093-2019")</f>
        <v/>
      </c>
      <c r="X253">
        <f>HYPERLINK("https://klasma.github.io/Logging_0685/tillsyn/A 45093-2019 tillsynsbegäran.docx", "A 45093-2019")</f>
        <v/>
      </c>
      <c r="Y253">
        <f>HYPERLINK("https://klasma.github.io/Logging_0685/tillsynsmail/A 45093-2019 tillsynsbegäran mail.docx", "A 45093-2019")</f>
        <v/>
      </c>
    </row>
    <row r="254" ht="15" customHeight="1">
      <c r="A254" t="inlineStr">
        <is>
          <t>A 46208-2019</t>
        </is>
      </c>
      <c r="B254" s="1" t="n">
        <v>43718</v>
      </c>
      <c r="C254" s="1" t="n">
        <v>45799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HYPERLINK("https://klasma.github.io/Logging_0685/artfynd/A 46208-2019 artfynd.xlsx", "A 46208-2019")</f>
        <v/>
      </c>
      <c r="T254">
        <f>HYPERLINK("https://klasma.github.io/Logging_0685/kartor/A 46208-2019 karta.png", "A 46208-2019")</f>
        <v/>
      </c>
      <c r="V254">
        <f>HYPERLINK("https://klasma.github.io/Logging_0685/klagomål/A 46208-2019 FSC-klagomål.docx", "A 46208-2019")</f>
        <v/>
      </c>
      <c r="W254">
        <f>HYPERLINK("https://klasma.github.io/Logging_0685/klagomålsmail/A 46208-2019 FSC-klagomål mail.docx", "A 46208-2019")</f>
        <v/>
      </c>
      <c r="X254">
        <f>HYPERLINK("https://klasma.github.io/Logging_0685/tillsyn/A 46208-2019 tillsynsbegäran.docx", "A 46208-2019")</f>
        <v/>
      </c>
      <c r="Y254">
        <f>HYPERLINK("https://klasma.github.io/Logging_0685/tillsynsmail/A 46208-2019 tillsynsbegäran mail.docx", "A 46208-2019")</f>
        <v/>
      </c>
    </row>
    <row r="255" ht="15" customHeight="1">
      <c r="A255" t="inlineStr">
        <is>
          <t>A 48689-2019</t>
        </is>
      </c>
      <c r="B255" s="1" t="n">
        <v>43727</v>
      </c>
      <c r="C255" s="1" t="n">
        <v>45799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5.3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Större vattensalamander</t>
        </is>
      </c>
      <c r="S255">
        <f>HYPERLINK("https://klasma.github.io/Logging_0680/artfynd/A 48689-2019 artfynd.xlsx", "A 48689-2019")</f>
        <v/>
      </c>
      <c r="T255">
        <f>HYPERLINK("https://klasma.github.io/Logging_0680/kartor/A 48689-2019 karta.png", "A 48689-2019")</f>
        <v/>
      </c>
      <c r="V255">
        <f>HYPERLINK("https://klasma.github.io/Logging_0680/klagomål/A 48689-2019 FSC-klagomål.docx", "A 48689-2019")</f>
        <v/>
      </c>
      <c r="W255">
        <f>HYPERLINK("https://klasma.github.io/Logging_0680/klagomålsmail/A 48689-2019 FSC-klagomål mail.docx", "A 48689-2019")</f>
        <v/>
      </c>
      <c r="X255">
        <f>HYPERLINK("https://klasma.github.io/Logging_0680/tillsyn/A 48689-2019 tillsynsbegäran.docx", "A 48689-2019")</f>
        <v/>
      </c>
      <c r="Y255">
        <f>HYPERLINK("https://klasma.github.io/Logging_0680/tillsynsmail/A 48689-2019 tillsynsbegäran mail.docx", "A 48689-2019")</f>
        <v/>
      </c>
    </row>
    <row r="256" ht="15" customHeight="1">
      <c r="A256" t="inlineStr">
        <is>
          <t>A 53433-2019</t>
        </is>
      </c>
      <c r="B256" s="1" t="n">
        <v>43748</v>
      </c>
      <c r="C256" s="1" t="n">
        <v>45799</v>
      </c>
      <c r="D256" t="inlineStr">
        <is>
          <t>JÖNKÖPINGS LÄN</t>
        </is>
      </c>
      <c r="E256" t="inlineStr">
        <is>
          <t>VETLANDA</t>
        </is>
      </c>
      <c r="G256" t="n">
        <v>3.3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Slåtterfibbla</t>
        </is>
      </c>
      <c r="S256">
        <f>HYPERLINK("https://klasma.github.io/Logging_0685/artfynd/A 53433-2019 artfynd.xlsx", "A 53433-2019")</f>
        <v/>
      </c>
      <c r="T256">
        <f>HYPERLINK("https://klasma.github.io/Logging_0685/kartor/A 53433-2019 karta.png", "A 53433-2019")</f>
        <v/>
      </c>
      <c r="V256">
        <f>HYPERLINK("https://klasma.github.io/Logging_0685/klagomål/A 53433-2019 FSC-klagomål.docx", "A 53433-2019")</f>
        <v/>
      </c>
      <c r="W256">
        <f>HYPERLINK("https://klasma.github.io/Logging_0685/klagomålsmail/A 53433-2019 FSC-klagomål mail.docx", "A 53433-2019")</f>
        <v/>
      </c>
      <c r="X256">
        <f>HYPERLINK("https://klasma.github.io/Logging_0685/tillsyn/A 53433-2019 tillsynsbegäran.docx", "A 53433-2019")</f>
        <v/>
      </c>
      <c r="Y256">
        <f>HYPERLINK("https://klasma.github.io/Logging_0685/tillsynsmail/A 53433-2019 tillsynsbegäran mail.docx", "A 53433-2019")</f>
        <v/>
      </c>
    </row>
    <row r="257" ht="15" customHeight="1">
      <c r="A257" t="inlineStr">
        <is>
          <t>A 53890-2019</t>
        </is>
      </c>
      <c r="B257" s="1" t="n">
        <v>43752</v>
      </c>
      <c r="C257" s="1" t="n">
        <v>45799</v>
      </c>
      <c r="D257" t="inlineStr">
        <is>
          <t>JÖNKÖPINGS LÄN</t>
        </is>
      </c>
      <c r="E257" t="inlineStr">
        <is>
          <t>VAGGERYD</t>
        </is>
      </c>
      <c r="G257" t="n">
        <v>5.3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Spillkråka</t>
        </is>
      </c>
      <c r="S257">
        <f>HYPERLINK("https://klasma.github.io/Logging_0665/artfynd/A 53890-2019 artfynd.xlsx", "A 53890-2019")</f>
        <v/>
      </c>
      <c r="T257">
        <f>HYPERLINK("https://klasma.github.io/Logging_0665/kartor/A 53890-2019 karta.png", "A 53890-2019")</f>
        <v/>
      </c>
      <c r="V257">
        <f>HYPERLINK("https://klasma.github.io/Logging_0665/klagomål/A 53890-2019 FSC-klagomål.docx", "A 53890-2019")</f>
        <v/>
      </c>
      <c r="W257">
        <f>HYPERLINK("https://klasma.github.io/Logging_0665/klagomålsmail/A 53890-2019 FSC-klagomål mail.docx", "A 53890-2019")</f>
        <v/>
      </c>
      <c r="X257">
        <f>HYPERLINK("https://klasma.github.io/Logging_0665/tillsyn/A 53890-2019 tillsynsbegäran.docx", "A 53890-2019")</f>
        <v/>
      </c>
      <c r="Y257">
        <f>HYPERLINK("https://klasma.github.io/Logging_0665/tillsynsmail/A 53890-2019 tillsynsbegäran mail.docx", "A 53890-2019")</f>
        <v/>
      </c>
      <c r="Z257">
        <f>HYPERLINK("https://klasma.github.io/Logging_0665/fåglar/A 53890-2019 prioriterade fågelarter.docx", "A 53890-2019")</f>
        <v/>
      </c>
    </row>
    <row r="258" ht="15" customHeight="1">
      <c r="A258" t="inlineStr">
        <is>
          <t>A 54655-2019</t>
        </is>
      </c>
      <c r="B258" s="1" t="n">
        <v>43754</v>
      </c>
      <c r="C258" s="1" t="n">
        <v>45799</v>
      </c>
      <c r="D258" t="inlineStr">
        <is>
          <t>JÖNKÖPINGS LÄN</t>
        </is>
      </c>
      <c r="E258" t="inlineStr">
        <is>
          <t>TRANÅS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HYPERLINK("https://klasma.github.io/Logging_0687/artfynd/A 54655-2019 artfynd.xlsx", "A 54655-2019")</f>
        <v/>
      </c>
      <c r="T258">
        <f>HYPERLINK("https://klasma.github.io/Logging_0687/kartor/A 54655-2019 karta.png", "A 54655-2019")</f>
        <v/>
      </c>
      <c r="V258">
        <f>HYPERLINK("https://klasma.github.io/Logging_0687/klagomål/A 54655-2019 FSC-klagomål.docx", "A 54655-2019")</f>
        <v/>
      </c>
      <c r="W258">
        <f>HYPERLINK("https://klasma.github.io/Logging_0687/klagomålsmail/A 54655-2019 FSC-klagomål mail.docx", "A 54655-2019")</f>
        <v/>
      </c>
      <c r="X258">
        <f>HYPERLINK("https://klasma.github.io/Logging_0687/tillsyn/A 54655-2019 tillsynsbegäran.docx", "A 54655-2019")</f>
        <v/>
      </c>
      <c r="Y258">
        <f>HYPERLINK("https://klasma.github.io/Logging_0687/tillsynsmail/A 54655-2019 tillsynsbegäran mail.docx", "A 54655-2019")</f>
        <v/>
      </c>
    </row>
    <row r="259" ht="15" customHeight="1">
      <c r="A259" t="inlineStr">
        <is>
          <t>A 56126-2019</t>
        </is>
      </c>
      <c r="B259" s="1" t="n">
        <v>43761</v>
      </c>
      <c r="C259" s="1" t="n">
        <v>45799</v>
      </c>
      <c r="D259" t="inlineStr">
        <is>
          <t>JÖNKÖPINGS LÄN</t>
        </is>
      </c>
      <c r="E259" t="inlineStr">
        <is>
          <t>VAGGERYD</t>
        </is>
      </c>
      <c r="G259" t="n">
        <v>2.4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HYPERLINK("https://klasma.github.io/Logging_0665/artfynd/A 56126-2019 artfynd.xlsx", "A 56126-2019")</f>
        <v/>
      </c>
      <c r="T259">
        <f>HYPERLINK("https://klasma.github.io/Logging_0665/kartor/A 56126-2019 karta.png", "A 56126-2019")</f>
        <v/>
      </c>
      <c r="U259">
        <f>HYPERLINK("https://klasma.github.io/Logging_0665/knärot/A 56126-2019 karta knärot.png", "A 56126-2019")</f>
        <v/>
      </c>
      <c r="V259">
        <f>HYPERLINK("https://klasma.github.io/Logging_0665/klagomål/A 56126-2019 FSC-klagomål.docx", "A 56126-2019")</f>
        <v/>
      </c>
      <c r="W259">
        <f>HYPERLINK("https://klasma.github.io/Logging_0665/klagomålsmail/A 56126-2019 FSC-klagomål mail.docx", "A 56126-2019")</f>
        <v/>
      </c>
      <c r="X259">
        <f>HYPERLINK("https://klasma.github.io/Logging_0665/tillsyn/A 56126-2019 tillsynsbegäran.docx", "A 56126-2019")</f>
        <v/>
      </c>
      <c r="Y259">
        <f>HYPERLINK("https://klasma.github.io/Logging_0665/tillsynsmail/A 56126-2019 tillsynsbegäran mail.docx", "A 56126-2019")</f>
        <v/>
      </c>
    </row>
    <row r="260" ht="15" customHeight="1">
      <c r="A260" t="inlineStr">
        <is>
          <t>A 62740-2019</t>
        </is>
      </c>
      <c r="B260" s="1" t="n">
        <v>43790</v>
      </c>
      <c r="C260" s="1" t="n">
        <v>45799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Kandelabersvamp</t>
        </is>
      </c>
      <c r="S260">
        <f>HYPERLINK("https://klasma.github.io/Logging_0687/artfynd/A 62740-2019 artfynd.xlsx", "A 62740-2019")</f>
        <v/>
      </c>
      <c r="T260">
        <f>HYPERLINK("https://klasma.github.io/Logging_0687/kartor/A 62740-2019 karta.png", "A 62740-2019")</f>
        <v/>
      </c>
      <c r="V260">
        <f>HYPERLINK("https://klasma.github.io/Logging_0687/klagomål/A 62740-2019 FSC-klagomål.docx", "A 62740-2019")</f>
        <v/>
      </c>
      <c r="W260">
        <f>HYPERLINK("https://klasma.github.io/Logging_0687/klagomålsmail/A 62740-2019 FSC-klagomål mail.docx", "A 62740-2019")</f>
        <v/>
      </c>
      <c r="X260">
        <f>HYPERLINK("https://klasma.github.io/Logging_0687/tillsyn/A 62740-2019 tillsynsbegäran.docx", "A 62740-2019")</f>
        <v/>
      </c>
      <c r="Y260">
        <f>HYPERLINK("https://klasma.github.io/Logging_0687/tillsynsmail/A 62740-2019 tillsynsbegäran mail.docx", "A 62740-2019")</f>
        <v/>
      </c>
    </row>
    <row r="261" ht="15" customHeight="1">
      <c r="A261" t="inlineStr">
        <is>
          <t>A 67740-2019</t>
        </is>
      </c>
      <c r="B261" s="1" t="n">
        <v>43809</v>
      </c>
      <c r="C261" s="1" t="n">
        <v>45799</v>
      </c>
      <c r="D261" t="inlineStr">
        <is>
          <t>JÖNKÖPINGS LÄN</t>
        </is>
      </c>
      <c r="E261" t="inlineStr">
        <is>
          <t>TRANÅS</t>
        </is>
      </c>
      <c r="G261" t="n">
        <v>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HYPERLINK("https://klasma.github.io/Logging_0687/artfynd/A 67740-2019 artfynd.xlsx", "A 67740-2019")</f>
        <v/>
      </c>
      <c r="T261">
        <f>HYPERLINK("https://klasma.github.io/Logging_0687/kartor/A 67740-2019 karta.png", "A 67740-2019")</f>
        <v/>
      </c>
      <c r="V261">
        <f>HYPERLINK("https://klasma.github.io/Logging_0687/klagomål/A 67740-2019 FSC-klagomål.docx", "A 67740-2019")</f>
        <v/>
      </c>
      <c r="W261">
        <f>HYPERLINK("https://klasma.github.io/Logging_0687/klagomålsmail/A 67740-2019 FSC-klagomål mail.docx", "A 67740-2019")</f>
        <v/>
      </c>
      <c r="X261">
        <f>HYPERLINK("https://klasma.github.io/Logging_0687/tillsyn/A 67740-2019 tillsynsbegäran.docx", "A 67740-2019")</f>
        <v/>
      </c>
      <c r="Y261">
        <f>HYPERLINK("https://klasma.github.io/Logging_0687/tillsynsmail/A 67740-2019 tillsynsbegäran mail.docx", "A 67740-2019")</f>
        <v/>
      </c>
    </row>
    <row r="262" ht="15" customHeight="1">
      <c r="A262" t="inlineStr">
        <is>
          <t>A 67742-2019</t>
        </is>
      </c>
      <c r="B262" s="1" t="n">
        <v>43809</v>
      </c>
      <c r="C262" s="1" t="n">
        <v>45799</v>
      </c>
      <c r="D262" t="inlineStr">
        <is>
          <t>JÖNKÖPINGS LÄN</t>
        </is>
      </c>
      <c r="E262" t="inlineStr">
        <is>
          <t>TRANÅS</t>
        </is>
      </c>
      <c r="G262" t="n">
        <v>1.9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HYPERLINK("https://klasma.github.io/Logging_0687/artfynd/A 67742-2019 artfynd.xlsx", "A 67742-2019")</f>
        <v/>
      </c>
      <c r="T262">
        <f>HYPERLINK("https://klasma.github.io/Logging_0687/kartor/A 67742-2019 karta.png", "A 67742-2019")</f>
        <v/>
      </c>
      <c r="V262">
        <f>HYPERLINK("https://klasma.github.io/Logging_0687/klagomål/A 67742-2019 FSC-klagomål.docx", "A 67742-2019")</f>
        <v/>
      </c>
      <c r="W262">
        <f>HYPERLINK("https://klasma.github.io/Logging_0687/klagomålsmail/A 67742-2019 FSC-klagomål mail.docx", "A 67742-2019")</f>
        <v/>
      </c>
      <c r="X262">
        <f>HYPERLINK("https://klasma.github.io/Logging_0687/tillsyn/A 67742-2019 tillsynsbegäran.docx", "A 67742-2019")</f>
        <v/>
      </c>
      <c r="Y262">
        <f>HYPERLINK("https://klasma.github.io/Logging_0687/tillsynsmail/A 67742-2019 tillsynsbegäran mail.docx", "A 67742-2019")</f>
        <v/>
      </c>
    </row>
    <row r="263" ht="15" customHeight="1">
      <c r="A263" t="inlineStr">
        <is>
          <t>A 67950-2019</t>
        </is>
      </c>
      <c r="B263" s="1" t="n">
        <v>43811</v>
      </c>
      <c r="C263" s="1" t="n">
        <v>45799</v>
      </c>
      <c r="D263" t="inlineStr">
        <is>
          <t>JÖNKÖPINGS LÄN</t>
        </is>
      </c>
      <c r="E263" t="inlineStr">
        <is>
          <t>VETLANDA</t>
        </is>
      </c>
      <c r="G263" t="n">
        <v>10.9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67950-2019 artfynd.xlsx", "A 67950-2019")</f>
        <v/>
      </c>
      <c r="T263">
        <f>HYPERLINK("https://klasma.github.io/Logging_0685/kartor/A 67950-2019 karta.png", "A 67950-2019")</f>
        <v/>
      </c>
      <c r="U263">
        <f>HYPERLINK("https://klasma.github.io/Logging_0685/knärot/A 67950-2019 karta knärot.png", "A 67950-2019")</f>
        <v/>
      </c>
      <c r="V263">
        <f>HYPERLINK("https://klasma.github.io/Logging_0685/klagomål/A 67950-2019 FSC-klagomål.docx", "A 67950-2019")</f>
        <v/>
      </c>
      <c r="W263">
        <f>HYPERLINK("https://klasma.github.io/Logging_0685/klagomålsmail/A 67950-2019 FSC-klagomål mail.docx", "A 67950-2019")</f>
        <v/>
      </c>
      <c r="X263">
        <f>HYPERLINK("https://klasma.github.io/Logging_0685/tillsyn/A 67950-2019 tillsynsbegäran.docx", "A 67950-2019")</f>
        <v/>
      </c>
      <c r="Y263">
        <f>HYPERLINK("https://klasma.github.io/Logging_0685/tillsynsmail/A 67950-2019 tillsynsbegäran mail.docx", "A 67950-2019")</f>
        <v/>
      </c>
    </row>
    <row r="264" ht="15" customHeight="1">
      <c r="A264" t="inlineStr">
        <is>
          <t>A 6334-2020</t>
        </is>
      </c>
      <c r="B264" s="1" t="n">
        <v>43866</v>
      </c>
      <c r="C264" s="1" t="n">
        <v>45799</v>
      </c>
      <c r="D264" t="inlineStr">
        <is>
          <t>JÖNKÖPINGS LÄN</t>
        </is>
      </c>
      <c r="E264" t="inlineStr">
        <is>
          <t>TRANÅS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Klasefibbla</t>
        </is>
      </c>
      <c r="S264">
        <f>HYPERLINK("https://klasma.github.io/Logging_0687/artfynd/A 6334-2020 artfynd.xlsx", "A 6334-2020")</f>
        <v/>
      </c>
      <c r="T264">
        <f>HYPERLINK("https://klasma.github.io/Logging_0687/kartor/A 6334-2020 karta.png", "A 6334-2020")</f>
        <v/>
      </c>
      <c r="V264">
        <f>HYPERLINK("https://klasma.github.io/Logging_0687/klagomål/A 6334-2020 FSC-klagomål.docx", "A 6334-2020")</f>
        <v/>
      </c>
      <c r="W264">
        <f>HYPERLINK("https://klasma.github.io/Logging_0687/klagomålsmail/A 6334-2020 FSC-klagomål mail.docx", "A 6334-2020")</f>
        <v/>
      </c>
      <c r="X264">
        <f>HYPERLINK("https://klasma.github.io/Logging_0687/tillsyn/A 6334-2020 tillsynsbegäran.docx", "A 6334-2020")</f>
        <v/>
      </c>
      <c r="Y264">
        <f>HYPERLINK("https://klasma.github.io/Logging_0687/tillsynsmail/A 6334-2020 tillsynsbegäran mail.docx", "A 6334-2020")</f>
        <v/>
      </c>
    </row>
    <row r="265" ht="15" customHeight="1">
      <c r="A265" t="inlineStr">
        <is>
          <t>A 7860-2020</t>
        </is>
      </c>
      <c r="B265" s="1" t="n">
        <v>43873</v>
      </c>
      <c r="C265" s="1" t="n">
        <v>45799</v>
      </c>
      <c r="D265" t="inlineStr">
        <is>
          <t>JÖNKÖPINGS LÄN</t>
        </is>
      </c>
      <c r="E265" t="inlineStr">
        <is>
          <t>VÄRNAMO</t>
        </is>
      </c>
      <c r="G265" t="n">
        <v>3.8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Plattlummer</t>
        </is>
      </c>
      <c r="S265">
        <f>HYPERLINK("https://klasma.github.io/Logging_0683/artfynd/A 7860-2020 artfynd.xlsx", "A 7860-2020")</f>
        <v/>
      </c>
      <c r="T265">
        <f>HYPERLINK("https://klasma.github.io/Logging_0683/kartor/A 7860-2020 karta.png", "A 7860-2020")</f>
        <v/>
      </c>
      <c r="V265">
        <f>HYPERLINK("https://klasma.github.io/Logging_0683/klagomål/A 7860-2020 FSC-klagomål.docx", "A 7860-2020")</f>
        <v/>
      </c>
      <c r="W265">
        <f>HYPERLINK("https://klasma.github.io/Logging_0683/klagomålsmail/A 7860-2020 FSC-klagomål mail.docx", "A 7860-2020")</f>
        <v/>
      </c>
      <c r="X265">
        <f>HYPERLINK("https://klasma.github.io/Logging_0683/tillsyn/A 7860-2020 tillsynsbegäran.docx", "A 7860-2020")</f>
        <v/>
      </c>
      <c r="Y265">
        <f>HYPERLINK("https://klasma.github.io/Logging_0683/tillsynsmail/A 7860-2020 tillsynsbegäran mail.docx", "A 7860-2020")</f>
        <v/>
      </c>
    </row>
    <row r="266" ht="15" customHeight="1">
      <c r="A266" t="inlineStr">
        <is>
          <t>A 12704-2020</t>
        </is>
      </c>
      <c r="B266" s="1" t="n">
        <v>43899</v>
      </c>
      <c r="C266" s="1" t="n">
        <v>45799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HYPERLINK("https://klasma.github.io/Logging_0680/artfynd/A 12704-2020 artfynd.xlsx", "A 12704-2020")</f>
        <v/>
      </c>
      <c r="T266">
        <f>HYPERLINK("https://klasma.github.io/Logging_0680/kartor/A 12704-2020 karta.png", "A 12704-2020")</f>
        <v/>
      </c>
      <c r="V266">
        <f>HYPERLINK("https://klasma.github.io/Logging_0680/klagomål/A 12704-2020 FSC-klagomål.docx", "A 12704-2020")</f>
        <v/>
      </c>
      <c r="W266">
        <f>HYPERLINK("https://klasma.github.io/Logging_0680/klagomålsmail/A 12704-2020 FSC-klagomål mail.docx", "A 12704-2020")</f>
        <v/>
      </c>
      <c r="X266">
        <f>HYPERLINK("https://klasma.github.io/Logging_0680/tillsyn/A 12704-2020 tillsynsbegäran.docx", "A 12704-2020")</f>
        <v/>
      </c>
      <c r="Y266">
        <f>HYPERLINK("https://klasma.github.io/Logging_0680/tillsynsmail/A 12704-2020 tillsynsbegäran mail.docx", "A 12704-2020")</f>
        <v/>
      </c>
    </row>
    <row r="267" ht="15" customHeight="1">
      <c r="A267" t="inlineStr">
        <is>
          <t>A 13949-2020</t>
        </is>
      </c>
      <c r="B267" s="1" t="n">
        <v>43906</v>
      </c>
      <c r="C267" s="1" t="n">
        <v>45799</v>
      </c>
      <c r="D267" t="inlineStr">
        <is>
          <t>JÖNKÖPINGS LÄN</t>
        </is>
      </c>
      <c r="E267" t="inlineStr">
        <is>
          <t>MULLSJÖ</t>
        </is>
      </c>
      <c r="G267" t="n">
        <v>4.8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Backsippa</t>
        </is>
      </c>
      <c r="S267">
        <f>HYPERLINK("https://klasma.github.io/Logging_0642/artfynd/A 13949-2020 artfynd.xlsx", "A 13949-2020")</f>
        <v/>
      </c>
      <c r="T267">
        <f>HYPERLINK("https://klasma.github.io/Logging_0642/kartor/A 13949-2020 karta.png", "A 13949-2020")</f>
        <v/>
      </c>
      <c r="V267">
        <f>HYPERLINK("https://klasma.github.io/Logging_0642/klagomål/A 13949-2020 FSC-klagomål.docx", "A 13949-2020")</f>
        <v/>
      </c>
      <c r="W267">
        <f>HYPERLINK("https://klasma.github.io/Logging_0642/klagomålsmail/A 13949-2020 FSC-klagomål mail.docx", "A 13949-2020")</f>
        <v/>
      </c>
      <c r="X267">
        <f>HYPERLINK("https://klasma.github.io/Logging_0642/tillsyn/A 13949-2020 tillsynsbegäran.docx", "A 13949-2020")</f>
        <v/>
      </c>
      <c r="Y267">
        <f>HYPERLINK("https://klasma.github.io/Logging_0642/tillsynsmail/A 13949-2020 tillsynsbegäran mail.docx", "A 13949-2020")</f>
        <v/>
      </c>
    </row>
    <row r="268" ht="15" customHeight="1">
      <c r="A268" t="inlineStr">
        <is>
          <t>A 15058-2020</t>
        </is>
      </c>
      <c r="B268" s="1" t="n">
        <v>43910</v>
      </c>
      <c r="C268" s="1" t="n">
        <v>45799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Gränsticka</t>
        </is>
      </c>
      <c r="S268">
        <f>HYPERLINK("https://klasma.github.io/Logging_0686/artfynd/A 15058-2020 artfynd.xlsx", "A 15058-2020")</f>
        <v/>
      </c>
      <c r="T268">
        <f>HYPERLINK("https://klasma.github.io/Logging_0686/kartor/A 15058-2020 karta.png", "A 15058-2020")</f>
        <v/>
      </c>
      <c r="V268">
        <f>HYPERLINK("https://klasma.github.io/Logging_0686/klagomål/A 15058-2020 FSC-klagomål.docx", "A 15058-2020")</f>
        <v/>
      </c>
      <c r="W268">
        <f>HYPERLINK("https://klasma.github.io/Logging_0686/klagomålsmail/A 15058-2020 FSC-klagomål mail.docx", "A 15058-2020")</f>
        <v/>
      </c>
      <c r="X268">
        <f>HYPERLINK("https://klasma.github.io/Logging_0686/tillsyn/A 15058-2020 tillsynsbegäran.docx", "A 15058-2020")</f>
        <v/>
      </c>
      <c r="Y268">
        <f>HYPERLINK("https://klasma.github.io/Logging_0686/tillsynsmail/A 15058-2020 tillsynsbegäran mail.docx", "A 15058-2020")</f>
        <v/>
      </c>
    </row>
    <row r="269" ht="15" customHeight="1">
      <c r="A269" t="inlineStr">
        <is>
          <t>A 17322-2020</t>
        </is>
      </c>
      <c r="B269" s="1" t="n">
        <v>43922</v>
      </c>
      <c r="C269" s="1" t="n">
        <v>45799</v>
      </c>
      <c r="D269" t="inlineStr">
        <is>
          <t>JÖNKÖPINGS LÄN</t>
        </is>
      </c>
      <c r="E269" t="inlineStr">
        <is>
          <t>GNOSJÖ</t>
        </is>
      </c>
      <c r="G269" t="n">
        <v>1.4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HYPERLINK("https://klasma.github.io/Logging_0617/artfynd/A 17322-2020 artfynd.xlsx", "A 17322-2020")</f>
        <v/>
      </c>
      <c r="T269">
        <f>HYPERLINK("https://klasma.github.io/Logging_0617/kartor/A 17322-2020 karta.png", "A 17322-2020")</f>
        <v/>
      </c>
      <c r="V269">
        <f>HYPERLINK("https://klasma.github.io/Logging_0617/klagomål/A 17322-2020 FSC-klagomål.docx", "A 17322-2020")</f>
        <v/>
      </c>
      <c r="W269">
        <f>HYPERLINK("https://klasma.github.io/Logging_0617/klagomålsmail/A 17322-2020 FSC-klagomål mail.docx", "A 17322-2020")</f>
        <v/>
      </c>
      <c r="X269">
        <f>HYPERLINK("https://klasma.github.io/Logging_0617/tillsyn/A 17322-2020 tillsynsbegäran.docx", "A 17322-2020")</f>
        <v/>
      </c>
      <c r="Y269">
        <f>HYPERLINK("https://klasma.github.io/Logging_0617/tillsynsmail/A 17322-2020 tillsynsbegäran mail.docx", "A 17322-2020")</f>
        <v/>
      </c>
    </row>
    <row r="270" ht="15" customHeight="1">
      <c r="A270" t="inlineStr">
        <is>
          <t>A 18710-2020</t>
        </is>
      </c>
      <c r="B270" s="1" t="n">
        <v>43930</v>
      </c>
      <c r="C270" s="1" t="n">
        <v>45799</v>
      </c>
      <c r="D270" t="inlineStr">
        <is>
          <t>JÖNKÖPINGS LÄN</t>
        </is>
      </c>
      <c r="E270" t="inlineStr">
        <is>
          <t>VETLANDA</t>
        </is>
      </c>
      <c r="G270" t="n">
        <v>3.4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HYPERLINK("https://klasma.github.io/Logging_0685/artfynd/A 18710-2020 artfynd.xlsx", "A 18710-2020")</f>
        <v/>
      </c>
      <c r="T270">
        <f>HYPERLINK("https://klasma.github.io/Logging_0685/kartor/A 18710-2020 karta.png", "A 18710-2020")</f>
        <v/>
      </c>
      <c r="U270">
        <f>HYPERLINK("https://klasma.github.io/Logging_0685/knärot/A 18710-2020 karta knärot.png", "A 18710-2020")</f>
        <v/>
      </c>
      <c r="V270">
        <f>HYPERLINK("https://klasma.github.io/Logging_0685/klagomål/A 18710-2020 FSC-klagomål.docx", "A 18710-2020")</f>
        <v/>
      </c>
      <c r="W270">
        <f>HYPERLINK("https://klasma.github.io/Logging_0685/klagomålsmail/A 18710-2020 FSC-klagomål mail.docx", "A 18710-2020")</f>
        <v/>
      </c>
      <c r="X270">
        <f>HYPERLINK("https://klasma.github.io/Logging_0685/tillsyn/A 18710-2020 tillsynsbegäran.docx", "A 18710-2020")</f>
        <v/>
      </c>
      <c r="Y270">
        <f>HYPERLINK("https://klasma.github.io/Logging_0685/tillsynsmail/A 18710-2020 tillsynsbegäran mail.docx", "A 18710-2020")</f>
        <v/>
      </c>
    </row>
    <row r="271" ht="15" customHeight="1">
      <c r="A271" t="inlineStr">
        <is>
          <t>A 26543-2020</t>
        </is>
      </c>
      <c r="B271" s="1" t="n">
        <v>43987</v>
      </c>
      <c r="C271" s="1" t="n">
        <v>45799</v>
      </c>
      <c r="D271" t="inlineStr">
        <is>
          <t>JÖNKÖPINGS LÄN</t>
        </is>
      </c>
      <c r="E271" t="inlineStr">
        <is>
          <t>NÄSSJÖ</t>
        </is>
      </c>
      <c r="G271" t="n">
        <v>5.4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HYPERLINK("https://klasma.github.io/Logging_0682/artfynd/A 26543-2020 artfynd.xlsx", "A 26543-2020")</f>
        <v/>
      </c>
      <c r="T271">
        <f>HYPERLINK("https://klasma.github.io/Logging_0682/kartor/A 26543-2020 karta.png", "A 26543-2020")</f>
        <v/>
      </c>
      <c r="V271">
        <f>HYPERLINK("https://klasma.github.io/Logging_0682/klagomål/A 26543-2020 FSC-klagomål.docx", "A 26543-2020")</f>
        <v/>
      </c>
      <c r="W271">
        <f>HYPERLINK("https://klasma.github.io/Logging_0682/klagomålsmail/A 26543-2020 FSC-klagomål mail.docx", "A 26543-2020")</f>
        <v/>
      </c>
      <c r="X271">
        <f>HYPERLINK("https://klasma.github.io/Logging_0682/tillsyn/A 26543-2020 tillsynsbegäran.docx", "A 26543-2020")</f>
        <v/>
      </c>
      <c r="Y271">
        <f>HYPERLINK("https://klasma.github.io/Logging_0682/tillsynsmail/A 26543-2020 tillsynsbegäran mail.docx", "A 26543-2020")</f>
        <v/>
      </c>
    </row>
    <row r="272" ht="15" customHeight="1">
      <c r="A272" t="inlineStr">
        <is>
          <t>A 27834-2020</t>
        </is>
      </c>
      <c r="B272" s="1" t="n">
        <v>43994</v>
      </c>
      <c r="C272" s="1" t="n">
        <v>45799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Igelkott</t>
        </is>
      </c>
      <c r="S272">
        <f>HYPERLINK("https://klasma.github.io/Logging_0687/artfynd/A 27834-2020 artfynd.xlsx", "A 27834-2020")</f>
        <v/>
      </c>
      <c r="T272">
        <f>HYPERLINK("https://klasma.github.io/Logging_0687/kartor/A 27834-2020 karta.png", "A 27834-2020")</f>
        <v/>
      </c>
      <c r="V272">
        <f>HYPERLINK("https://klasma.github.io/Logging_0687/klagomål/A 27834-2020 FSC-klagomål.docx", "A 27834-2020")</f>
        <v/>
      </c>
      <c r="W272">
        <f>HYPERLINK("https://klasma.github.io/Logging_0687/klagomålsmail/A 27834-2020 FSC-klagomål mail.docx", "A 27834-2020")</f>
        <v/>
      </c>
      <c r="X272">
        <f>HYPERLINK("https://klasma.github.io/Logging_0687/tillsyn/A 27834-2020 tillsynsbegäran.docx", "A 27834-2020")</f>
        <v/>
      </c>
      <c r="Y272">
        <f>HYPERLINK("https://klasma.github.io/Logging_0687/tillsynsmail/A 27834-2020 tillsynsbegäran mail.docx", "A 27834-2020")</f>
        <v/>
      </c>
    </row>
    <row r="273" ht="15" customHeight="1">
      <c r="A273" t="inlineStr">
        <is>
          <t>A 27698-2020</t>
        </is>
      </c>
      <c r="B273" s="1" t="n">
        <v>43994</v>
      </c>
      <c r="C273" s="1" t="n">
        <v>45799</v>
      </c>
      <c r="D273" t="inlineStr">
        <is>
          <t>JÖNKÖPINGS LÄN</t>
        </is>
      </c>
      <c r="E273" t="inlineStr">
        <is>
          <t>EKSJÖ</t>
        </is>
      </c>
      <c r="G273" t="n">
        <v>2.6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Gullklöver</t>
        </is>
      </c>
      <c r="S273">
        <f>HYPERLINK("https://klasma.github.io/Logging_0686/artfynd/A 27698-2020 artfynd.xlsx", "A 27698-2020")</f>
        <v/>
      </c>
      <c r="T273">
        <f>HYPERLINK("https://klasma.github.io/Logging_0686/kartor/A 27698-2020 karta.png", "A 27698-2020")</f>
        <v/>
      </c>
      <c r="V273">
        <f>HYPERLINK("https://klasma.github.io/Logging_0686/klagomål/A 27698-2020 FSC-klagomål.docx", "A 27698-2020")</f>
        <v/>
      </c>
      <c r="W273">
        <f>HYPERLINK("https://klasma.github.io/Logging_0686/klagomålsmail/A 27698-2020 FSC-klagomål mail.docx", "A 27698-2020")</f>
        <v/>
      </c>
      <c r="X273">
        <f>HYPERLINK("https://klasma.github.io/Logging_0686/tillsyn/A 27698-2020 tillsynsbegäran.docx", "A 27698-2020")</f>
        <v/>
      </c>
      <c r="Y273">
        <f>HYPERLINK("https://klasma.github.io/Logging_0686/tillsynsmail/A 27698-2020 tillsynsbegäran mail.docx", "A 27698-2020")</f>
        <v/>
      </c>
    </row>
    <row r="274" ht="15" customHeight="1">
      <c r="A274" t="inlineStr">
        <is>
          <t>A 32870-2020</t>
        </is>
      </c>
      <c r="B274" s="1" t="n">
        <v>44018</v>
      </c>
      <c r="C274" s="1" t="n">
        <v>45799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2.5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HYPERLINK("https://klasma.github.io/Logging_0685/artfynd/A 32870-2020 artfynd.xlsx", "A 32870-2020")</f>
        <v/>
      </c>
      <c r="T274">
        <f>HYPERLINK("https://klasma.github.io/Logging_0685/kartor/A 32870-2020 karta.png", "A 32870-2020")</f>
        <v/>
      </c>
      <c r="U274">
        <f>HYPERLINK("https://klasma.github.io/Logging_0685/knärot/A 32870-2020 karta knärot.png", "A 32870-2020")</f>
        <v/>
      </c>
      <c r="V274">
        <f>HYPERLINK("https://klasma.github.io/Logging_0685/klagomål/A 32870-2020 FSC-klagomål.docx", "A 32870-2020")</f>
        <v/>
      </c>
      <c r="W274">
        <f>HYPERLINK("https://klasma.github.io/Logging_0685/klagomålsmail/A 32870-2020 FSC-klagomål mail.docx", "A 32870-2020")</f>
        <v/>
      </c>
      <c r="X274">
        <f>HYPERLINK("https://klasma.github.io/Logging_0685/tillsyn/A 32870-2020 tillsynsbegäran.docx", "A 32870-2020")</f>
        <v/>
      </c>
      <c r="Y274">
        <f>HYPERLINK("https://klasma.github.io/Logging_0685/tillsynsmail/A 32870-2020 tillsynsbegäran mail.docx", "A 32870-2020")</f>
        <v/>
      </c>
    </row>
    <row r="275" ht="15" customHeight="1">
      <c r="A275" t="inlineStr">
        <is>
          <t>A 36238-2020</t>
        </is>
      </c>
      <c r="B275" s="1" t="n">
        <v>44018</v>
      </c>
      <c r="C275" s="1" t="n">
        <v>45799</v>
      </c>
      <c r="D275" t="inlineStr">
        <is>
          <t>JÖNKÖPINGS LÄN</t>
        </is>
      </c>
      <c r="E275" t="inlineStr">
        <is>
          <t>JÖNKÖPING</t>
        </is>
      </c>
      <c r="G275" t="n">
        <v>15.6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HYPERLINK("https://klasma.github.io/Logging_0680/artfynd/A 36238-2020 artfynd.xlsx", "A 36238-2020")</f>
        <v/>
      </c>
      <c r="T275">
        <f>HYPERLINK("https://klasma.github.io/Logging_0680/kartor/A 36238-2020 karta.png", "A 36238-2020")</f>
        <v/>
      </c>
      <c r="V275">
        <f>HYPERLINK("https://klasma.github.io/Logging_0680/klagomål/A 36238-2020 FSC-klagomål.docx", "A 36238-2020")</f>
        <v/>
      </c>
      <c r="W275">
        <f>HYPERLINK("https://klasma.github.io/Logging_0680/klagomålsmail/A 36238-2020 FSC-klagomål mail.docx", "A 36238-2020")</f>
        <v/>
      </c>
      <c r="X275">
        <f>HYPERLINK("https://klasma.github.io/Logging_0680/tillsyn/A 36238-2020 tillsynsbegäran.docx", "A 36238-2020")</f>
        <v/>
      </c>
      <c r="Y275">
        <f>HYPERLINK("https://klasma.github.io/Logging_0680/tillsynsmail/A 36238-2020 tillsynsbegäran mail.docx", "A 36238-2020")</f>
        <v/>
      </c>
    </row>
    <row r="276" ht="15" customHeight="1">
      <c r="A276" t="inlineStr">
        <is>
          <t>A 36261-2020</t>
        </is>
      </c>
      <c r="B276" s="1" t="n">
        <v>44049</v>
      </c>
      <c r="C276" s="1" t="n">
        <v>45799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3.6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HYPERLINK("https://klasma.github.io/Logging_0687/artfynd/A 36261-2020 artfynd.xlsx", "A 36261-2020")</f>
        <v/>
      </c>
      <c r="T276">
        <f>HYPERLINK("https://klasma.github.io/Logging_0687/kartor/A 36261-2020 karta.png", "A 36261-2020")</f>
        <v/>
      </c>
      <c r="V276">
        <f>HYPERLINK("https://klasma.github.io/Logging_0687/klagomål/A 36261-2020 FSC-klagomål.docx", "A 36261-2020")</f>
        <v/>
      </c>
      <c r="W276">
        <f>HYPERLINK("https://klasma.github.io/Logging_0687/klagomålsmail/A 36261-2020 FSC-klagomål mail.docx", "A 36261-2020")</f>
        <v/>
      </c>
      <c r="X276">
        <f>HYPERLINK("https://klasma.github.io/Logging_0687/tillsyn/A 36261-2020 tillsynsbegäran.docx", "A 36261-2020")</f>
        <v/>
      </c>
      <c r="Y276">
        <f>HYPERLINK("https://klasma.github.io/Logging_0687/tillsynsmail/A 36261-2020 tillsynsbegäran mail.docx", "A 36261-2020")</f>
        <v/>
      </c>
      <c r="Z276">
        <f>HYPERLINK("https://klasma.github.io/Logging_0687/fåglar/A 36261-2020 prioriterade fågelarter.docx", "A 36261-2020")</f>
        <v/>
      </c>
    </row>
    <row r="277" ht="15" customHeight="1">
      <c r="A277" t="inlineStr">
        <is>
          <t>A 36801-2020</t>
        </is>
      </c>
      <c r="B277" s="1" t="n">
        <v>44053</v>
      </c>
      <c r="C277" s="1" t="n">
        <v>45799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HYPERLINK("https://klasma.github.io/Logging_0685/artfynd/A 36801-2020 artfynd.xlsx", "A 36801-2020")</f>
        <v/>
      </c>
      <c r="T277">
        <f>HYPERLINK("https://klasma.github.io/Logging_0685/kartor/A 36801-2020 karta.png", "A 36801-2020")</f>
        <v/>
      </c>
      <c r="V277">
        <f>HYPERLINK("https://klasma.github.io/Logging_0685/klagomål/A 36801-2020 FSC-klagomål.docx", "A 36801-2020")</f>
        <v/>
      </c>
      <c r="W277">
        <f>HYPERLINK("https://klasma.github.io/Logging_0685/klagomålsmail/A 36801-2020 FSC-klagomål mail.docx", "A 36801-2020")</f>
        <v/>
      </c>
      <c r="X277">
        <f>HYPERLINK("https://klasma.github.io/Logging_0685/tillsyn/A 36801-2020 tillsynsbegäran.docx", "A 36801-2020")</f>
        <v/>
      </c>
      <c r="Y277">
        <f>HYPERLINK("https://klasma.github.io/Logging_0685/tillsynsmail/A 36801-2020 tillsynsbegäran mail.docx", "A 36801-2020")</f>
        <v/>
      </c>
    </row>
    <row r="278" ht="15" customHeight="1">
      <c r="A278" t="inlineStr">
        <is>
          <t>A 39588-2020</t>
        </is>
      </c>
      <c r="B278" s="1" t="n">
        <v>44064</v>
      </c>
      <c r="C278" s="1" t="n">
        <v>45799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39588-2020 artfynd.xlsx", "A 39588-2020")</f>
        <v/>
      </c>
      <c r="T278">
        <f>HYPERLINK("https://klasma.github.io/Logging_0685/kartor/A 39588-2020 karta.png", "A 39588-2020")</f>
        <v/>
      </c>
      <c r="V278">
        <f>HYPERLINK("https://klasma.github.io/Logging_0685/klagomål/A 39588-2020 FSC-klagomål.docx", "A 39588-2020")</f>
        <v/>
      </c>
      <c r="W278">
        <f>HYPERLINK("https://klasma.github.io/Logging_0685/klagomålsmail/A 39588-2020 FSC-klagomål mail.docx", "A 39588-2020")</f>
        <v/>
      </c>
      <c r="X278">
        <f>HYPERLINK("https://klasma.github.io/Logging_0685/tillsyn/A 39588-2020 tillsynsbegäran.docx", "A 39588-2020")</f>
        <v/>
      </c>
      <c r="Y278">
        <f>HYPERLINK("https://klasma.github.io/Logging_0685/tillsynsmail/A 39588-2020 tillsynsbegäran mail.docx", "A 39588-2020")</f>
        <v/>
      </c>
    </row>
    <row r="279" ht="15" customHeight="1">
      <c r="A279" t="inlineStr">
        <is>
          <t>A 44144-2020</t>
        </is>
      </c>
      <c r="B279" s="1" t="n">
        <v>44083</v>
      </c>
      <c r="C279" s="1" t="n">
        <v>45799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HYPERLINK("https://klasma.github.io/Logging_0680/artfynd/A 44144-2020 artfynd.xlsx", "A 44144-2020")</f>
        <v/>
      </c>
      <c r="T279">
        <f>HYPERLINK("https://klasma.github.io/Logging_0680/kartor/A 44144-2020 karta.png", "A 44144-2020")</f>
        <v/>
      </c>
      <c r="V279">
        <f>HYPERLINK("https://klasma.github.io/Logging_0680/klagomål/A 44144-2020 FSC-klagomål.docx", "A 44144-2020")</f>
        <v/>
      </c>
      <c r="W279">
        <f>HYPERLINK("https://klasma.github.io/Logging_0680/klagomålsmail/A 44144-2020 FSC-klagomål mail.docx", "A 44144-2020")</f>
        <v/>
      </c>
      <c r="X279">
        <f>HYPERLINK("https://klasma.github.io/Logging_0680/tillsyn/A 44144-2020 tillsynsbegäran.docx", "A 44144-2020")</f>
        <v/>
      </c>
      <c r="Y279">
        <f>HYPERLINK("https://klasma.github.io/Logging_0680/tillsynsmail/A 44144-2020 tillsynsbegäran mail.docx", "A 44144-2020")</f>
        <v/>
      </c>
    </row>
    <row r="280" ht="15" customHeight="1">
      <c r="A280" t="inlineStr">
        <is>
          <t>A 46552-2020</t>
        </is>
      </c>
      <c r="B280" s="1" t="n">
        <v>44095</v>
      </c>
      <c r="C280" s="1" t="n">
        <v>45799</v>
      </c>
      <c r="D280" t="inlineStr">
        <is>
          <t>JÖNKÖPINGS LÄN</t>
        </is>
      </c>
      <c r="E280" t="inlineStr">
        <is>
          <t>JÖNKÖPING</t>
        </is>
      </c>
      <c r="G280" t="n">
        <v>1.8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Granspira</t>
        </is>
      </c>
      <c r="S280">
        <f>HYPERLINK("https://klasma.github.io/Logging_0680/artfynd/A 46552-2020 artfynd.xlsx", "A 46552-2020")</f>
        <v/>
      </c>
      <c r="T280">
        <f>HYPERLINK("https://klasma.github.io/Logging_0680/kartor/A 46552-2020 karta.png", "A 46552-2020")</f>
        <v/>
      </c>
      <c r="V280">
        <f>HYPERLINK("https://klasma.github.io/Logging_0680/klagomål/A 46552-2020 FSC-klagomål.docx", "A 46552-2020")</f>
        <v/>
      </c>
      <c r="W280">
        <f>HYPERLINK("https://klasma.github.io/Logging_0680/klagomålsmail/A 46552-2020 FSC-klagomål mail.docx", "A 46552-2020")</f>
        <v/>
      </c>
      <c r="X280">
        <f>HYPERLINK("https://klasma.github.io/Logging_0680/tillsyn/A 46552-2020 tillsynsbegäran.docx", "A 46552-2020")</f>
        <v/>
      </c>
      <c r="Y280">
        <f>HYPERLINK("https://klasma.github.io/Logging_0680/tillsynsmail/A 46552-2020 tillsynsbegäran mail.docx", "A 46552-2020")</f>
        <v/>
      </c>
    </row>
    <row r="281" ht="15" customHeight="1">
      <c r="A281" t="inlineStr">
        <is>
          <t>A 51106-2020</t>
        </is>
      </c>
      <c r="B281" s="1" t="n">
        <v>44112</v>
      </c>
      <c r="C281" s="1" t="n">
        <v>45799</v>
      </c>
      <c r="D281" t="inlineStr">
        <is>
          <t>JÖNKÖPINGS LÄN</t>
        </is>
      </c>
      <c r="E281" t="inlineStr">
        <is>
          <t>ANEBY</t>
        </is>
      </c>
      <c r="G281" t="n">
        <v>2.6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Ögonpyrola</t>
        </is>
      </c>
      <c r="S281">
        <f>HYPERLINK("https://klasma.github.io/Logging_0604/artfynd/A 51106-2020 artfynd.xlsx", "A 51106-2020")</f>
        <v/>
      </c>
      <c r="T281">
        <f>HYPERLINK("https://klasma.github.io/Logging_0604/kartor/A 51106-2020 karta.png", "A 51106-2020")</f>
        <v/>
      </c>
      <c r="V281">
        <f>HYPERLINK("https://klasma.github.io/Logging_0604/klagomål/A 51106-2020 FSC-klagomål.docx", "A 51106-2020")</f>
        <v/>
      </c>
      <c r="W281">
        <f>HYPERLINK("https://klasma.github.io/Logging_0604/klagomålsmail/A 51106-2020 FSC-klagomål mail.docx", "A 51106-2020")</f>
        <v/>
      </c>
      <c r="X281">
        <f>HYPERLINK("https://klasma.github.io/Logging_0604/tillsyn/A 51106-2020 tillsynsbegäran.docx", "A 51106-2020")</f>
        <v/>
      </c>
      <c r="Y281">
        <f>HYPERLINK("https://klasma.github.io/Logging_0604/tillsynsmail/A 51106-2020 tillsynsbegäran mail.docx", "A 51106-2020")</f>
        <v/>
      </c>
    </row>
    <row r="282" ht="15" customHeight="1">
      <c r="A282" t="inlineStr">
        <is>
          <t>A 51215-2020</t>
        </is>
      </c>
      <c r="B282" s="1" t="n">
        <v>44112</v>
      </c>
      <c r="C282" s="1" t="n">
        <v>45799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Storkorgsfibbla</t>
        </is>
      </c>
      <c r="S282">
        <f>HYPERLINK("https://klasma.github.io/Logging_0687/artfynd/A 51215-2020 artfynd.xlsx", "A 51215-2020")</f>
        <v/>
      </c>
      <c r="T282">
        <f>HYPERLINK("https://klasma.github.io/Logging_0687/kartor/A 51215-2020 karta.png", "A 51215-2020")</f>
        <v/>
      </c>
      <c r="V282">
        <f>HYPERLINK("https://klasma.github.io/Logging_0687/klagomål/A 51215-2020 FSC-klagomål.docx", "A 51215-2020")</f>
        <v/>
      </c>
      <c r="W282">
        <f>HYPERLINK("https://klasma.github.io/Logging_0687/klagomålsmail/A 51215-2020 FSC-klagomål mail.docx", "A 51215-2020")</f>
        <v/>
      </c>
      <c r="X282">
        <f>HYPERLINK("https://klasma.github.io/Logging_0687/tillsyn/A 51215-2020 tillsynsbegäran.docx", "A 51215-2020")</f>
        <v/>
      </c>
      <c r="Y282">
        <f>HYPERLINK("https://klasma.github.io/Logging_0687/tillsynsmail/A 51215-2020 tillsynsbegäran mail.docx", "A 51215-2020")</f>
        <v/>
      </c>
    </row>
    <row r="283" ht="15" customHeight="1">
      <c r="A283" t="inlineStr">
        <is>
          <t>A 56911-2020</t>
        </is>
      </c>
      <c r="B283" s="1" t="n">
        <v>44138</v>
      </c>
      <c r="C283" s="1" t="n">
        <v>45799</v>
      </c>
      <c r="D283" t="inlineStr">
        <is>
          <t>JÖNKÖPINGS LÄN</t>
        </is>
      </c>
      <c r="E283" t="inlineStr">
        <is>
          <t>VAGGERYD</t>
        </is>
      </c>
      <c r="F283" t="inlineStr">
        <is>
          <t>Övriga statliga verk och myndigheter</t>
        </is>
      </c>
      <c r="G283" t="n">
        <v>11.4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Kopparödla</t>
        </is>
      </c>
      <c r="S283">
        <f>HYPERLINK("https://klasma.github.io/Logging_0665/artfynd/A 56911-2020 artfynd.xlsx", "A 56911-2020")</f>
        <v/>
      </c>
      <c r="T283">
        <f>HYPERLINK("https://klasma.github.io/Logging_0665/kartor/A 56911-2020 karta.png", "A 56911-2020")</f>
        <v/>
      </c>
      <c r="V283">
        <f>HYPERLINK("https://klasma.github.io/Logging_0665/klagomål/A 56911-2020 FSC-klagomål.docx", "A 56911-2020")</f>
        <v/>
      </c>
      <c r="W283">
        <f>HYPERLINK("https://klasma.github.io/Logging_0665/klagomålsmail/A 56911-2020 FSC-klagomål mail.docx", "A 56911-2020")</f>
        <v/>
      </c>
      <c r="X283">
        <f>HYPERLINK("https://klasma.github.io/Logging_0665/tillsyn/A 56911-2020 tillsynsbegäran.docx", "A 56911-2020")</f>
        <v/>
      </c>
      <c r="Y283">
        <f>HYPERLINK("https://klasma.github.io/Logging_0665/tillsynsmail/A 56911-2020 tillsynsbegäran mail.docx", "A 56911-2020")</f>
        <v/>
      </c>
    </row>
    <row r="284" ht="15" customHeight="1">
      <c r="A284" t="inlineStr">
        <is>
          <t>A 60658-2020</t>
        </is>
      </c>
      <c r="B284" s="1" t="n">
        <v>44153</v>
      </c>
      <c r="C284" s="1" t="n">
        <v>45799</v>
      </c>
      <c r="D284" t="inlineStr">
        <is>
          <t>JÖNKÖPINGS LÄN</t>
        </is>
      </c>
      <c r="E284" t="inlineStr">
        <is>
          <t>TRANÅS</t>
        </is>
      </c>
      <c r="G284" t="n">
        <v>2.1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HYPERLINK("https://klasma.github.io/Logging_0687/artfynd/A 60658-2020 artfynd.xlsx", "A 60658-2020")</f>
        <v/>
      </c>
      <c r="T284">
        <f>HYPERLINK("https://klasma.github.io/Logging_0687/kartor/A 60658-2020 karta.png", "A 60658-2020")</f>
        <v/>
      </c>
      <c r="V284">
        <f>HYPERLINK("https://klasma.github.io/Logging_0687/klagomål/A 60658-2020 FSC-klagomål.docx", "A 60658-2020")</f>
        <v/>
      </c>
      <c r="W284">
        <f>HYPERLINK("https://klasma.github.io/Logging_0687/klagomålsmail/A 60658-2020 FSC-klagomål mail.docx", "A 60658-2020")</f>
        <v/>
      </c>
      <c r="X284">
        <f>HYPERLINK("https://klasma.github.io/Logging_0687/tillsyn/A 60658-2020 tillsynsbegäran.docx", "A 60658-2020")</f>
        <v/>
      </c>
      <c r="Y284">
        <f>HYPERLINK("https://klasma.github.io/Logging_0687/tillsynsmail/A 60658-2020 tillsynsbegäran mail.docx", "A 60658-2020")</f>
        <v/>
      </c>
    </row>
    <row r="285" ht="15" customHeight="1">
      <c r="A285" t="inlineStr">
        <is>
          <t>A 69070-2020</t>
        </is>
      </c>
      <c r="B285" s="1" t="n">
        <v>44187</v>
      </c>
      <c r="C285" s="1" t="n">
        <v>45799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Gropticka</t>
        </is>
      </c>
      <c r="S285">
        <f>HYPERLINK("https://klasma.github.io/Logging_0685/artfynd/A 69070-2020 artfynd.xlsx", "A 69070-2020")</f>
        <v/>
      </c>
      <c r="T285">
        <f>HYPERLINK("https://klasma.github.io/Logging_0685/kartor/A 69070-2020 karta.png", "A 69070-2020")</f>
        <v/>
      </c>
      <c r="V285">
        <f>HYPERLINK("https://klasma.github.io/Logging_0685/klagomål/A 69070-2020 FSC-klagomål.docx", "A 69070-2020")</f>
        <v/>
      </c>
      <c r="W285">
        <f>HYPERLINK("https://klasma.github.io/Logging_0685/klagomålsmail/A 69070-2020 FSC-klagomål mail.docx", "A 69070-2020")</f>
        <v/>
      </c>
      <c r="X285">
        <f>HYPERLINK("https://klasma.github.io/Logging_0685/tillsyn/A 69070-2020 tillsynsbegäran.docx", "A 69070-2020")</f>
        <v/>
      </c>
      <c r="Y285">
        <f>HYPERLINK("https://klasma.github.io/Logging_0685/tillsynsmail/A 69070-2020 tillsynsbegäran mail.docx", "A 69070-2020")</f>
        <v/>
      </c>
    </row>
    <row r="286" ht="15" customHeight="1">
      <c r="A286" t="inlineStr">
        <is>
          <t>A 1319-2021</t>
        </is>
      </c>
      <c r="B286" s="1" t="n">
        <v>44208</v>
      </c>
      <c r="C286" s="1" t="n">
        <v>45799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Backtimjan</t>
        </is>
      </c>
      <c r="S286">
        <f>HYPERLINK("https://klasma.github.io/Logging_0662/artfynd/A 1319-2021 artfynd.xlsx", "A 1319-2021")</f>
        <v/>
      </c>
      <c r="T286">
        <f>HYPERLINK("https://klasma.github.io/Logging_0662/kartor/A 1319-2021 karta.png", "A 1319-2021")</f>
        <v/>
      </c>
      <c r="V286">
        <f>HYPERLINK("https://klasma.github.io/Logging_0662/klagomål/A 1319-2021 FSC-klagomål.docx", "A 1319-2021")</f>
        <v/>
      </c>
      <c r="W286">
        <f>HYPERLINK("https://klasma.github.io/Logging_0662/klagomålsmail/A 1319-2021 FSC-klagomål mail.docx", "A 1319-2021")</f>
        <v/>
      </c>
      <c r="X286">
        <f>HYPERLINK("https://klasma.github.io/Logging_0662/tillsyn/A 1319-2021 tillsynsbegäran.docx", "A 1319-2021")</f>
        <v/>
      </c>
      <c r="Y286">
        <f>HYPERLINK("https://klasma.github.io/Logging_0662/tillsynsmail/A 1319-2021 tillsynsbegäran mail.docx", "A 1319-2021")</f>
        <v/>
      </c>
    </row>
    <row r="287" ht="15" customHeight="1">
      <c r="A287" t="inlineStr">
        <is>
          <t>A 1512-2021</t>
        </is>
      </c>
      <c r="B287" s="1" t="n">
        <v>44209</v>
      </c>
      <c r="C287" s="1" t="n">
        <v>45799</v>
      </c>
      <c r="D287" t="inlineStr">
        <is>
          <t>JÖNKÖPINGS LÄN</t>
        </is>
      </c>
      <c r="E287" t="inlineStr">
        <is>
          <t>NÄSSJÖ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Månlåsbräken</t>
        </is>
      </c>
      <c r="S287">
        <f>HYPERLINK("https://klasma.github.io/Logging_0682/artfynd/A 1512-2021 artfynd.xlsx", "A 1512-2021")</f>
        <v/>
      </c>
      <c r="T287">
        <f>HYPERLINK("https://klasma.github.io/Logging_0682/kartor/A 1512-2021 karta.png", "A 1512-2021")</f>
        <v/>
      </c>
      <c r="V287">
        <f>HYPERLINK("https://klasma.github.io/Logging_0682/klagomål/A 1512-2021 FSC-klagomål.docx", "A 1512-2021")</f>
        <v/>
      </c>
      <c r="W287">
        <f>HYPERLINK("https://klasma.github.io/Logging_0682/klagomålsmail/A 1512-2021 FSC-klagomål mail.docx", "A 1512-2021")</f>
        <v/>
      </c>
      <c r="X287">
        <f>HYPERLINK("https://klasma.github.io/Logging_0682/tillsyn/A 1512-2021 tillsynsbegäran.docx", "A 1512-2021")</f>
        <v/>
      </c>
      <c r="Y287">
        <f>HYPERLINK("https://klasma.github.io/Logging_0682/tillsynsmail/A 1512-2021 tillsynsbegäran mail.docx", "A 1512-2021")</f>
        <v/>
      </c>
    </row>
    <row r="288" ht="15" customHeight="1">
      <c r="A288" t="inlineStr">
        <is>
          <t>A 5211-2021</t>
        </is>
      </c>
      <c r="B288" s="1" t="n">
        <v>44229</v>
      </c>
      <c r="C288" s="1" t="n">
        <v>45799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HYPERLINK("https://klasma.github.io/Logging_0685/artfynd/A 5211-2021 artfynd.xlsx", "A 5211-2021")</f>
        <v/>
      </c>
      <c r="T288">
        <f>HYPERLINK("https://klasma.github.io/Logging_0685/kartor/A 5211-2021 karta.png", "A 5211-2021")</f>
        <v/>
      </c>
      <c r="V288">
        <f>HYPERLINK("https://klasma.github.io/Logging_0685/klagomål/A 5211-2021 FSC-klagomål.docx", "A 5211-2021")</f>
        <v/>
      </c>
      <c r="W288">
        <f>HYPERLINK("https://klasma.github.io/Logging_0685/klagomålsmail/A 5211-2021 FSC-klagomål mail.docx", "A 5211-2021")</f>
        <v/>
      </c>
      <c r="X288">
        <f>HYPERLINK("https://klasma.github.io/Logging_0685/tillsyn/A 5211-2021 tillsynsbegäran.docx", "A 5211-2021")</f>
        <v/>
      </c>
      <c r="Y288">
        <f>HYPERLINK("https://klasma.github.io/Logging_0685/tillsynsmail/A 5211-2021 tillsynsbegäran mail.docx", "A 5211-2021")</f>
        <v/>
      </c>
    </row>
    <row r="289" ht="15" customHeight="1">
      <c r="A289" t="inlineStr">
        <is>
          <t>A 7365-2021</t>
        </is>
      </c>
      <c r="B289" s="1" t="n">
        <v>44239</v>
      </c>
      <c r="C289" s="1" t="n">
        <v>45799</v>
      </c>
      <c r="D289" t="inlineStr">
        <is>
          <t>JÖNKÖPINGS LÄN</t>
        </is>
      </c>
      <c r="E289" t="inlineStr">
        <is>
          <t>TRANÅS</t>
        </is>
      </c>
      <c r="G289" t="n">
        <v>5.2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Dvärghäxört</t>
        </is>
      </c>
      <c r="S289">
        <f>HYPERLINK("https://klasma.github.io/Logging_0687/artfynd/A 7365-2021 artfynd.xlsx", "A 7365-2021")</f>
        <v/>
      </c>
      <c r="T289">
        <f>HYPERLINK("https://klasma.github.io/Logging_0687/kartor/A 7365-2021 karta.png", "A 7365-2021")</f>
        <v/>
      </c>
      <c r="V289">
        <f>HYPERLINK("https://klasma.github.io/Logging_0687/klagomål/A 7365-2021 FSC-klagomål.docx", "A 7365-2021")</f>
        <v/>
      </c>
      <c r="W289">
        <f>HYPERLINK("https://klasma.github.io/Logging_0687/klagomålsmail/A 7365-2021 FSC-klagomål mail.docx", "A 7365-2021")</f>
        <v/>
      </c>
      <c r="X289">
        <f>HYPERLINK("https://klasma.github.io/Logging_0687/tillsyn/A 7365-2021 tillsynsbegäran.docx", "A 7365-2021")</f>
        <v/>
      </c>
      <c r="Y289">
        <f>HYPERLINK("https://klasma.github.io/Logging_0687/tillsynsmail/A 7365-2021 tillsynsbegäran mail.docx", "A 7365-2021")</f>
        <v/>
      </c>
    </row>
    <row r="290" ht="15" customHeight="1">
      <c r="A290" t="inlineStr">
        <is>
          <t>A 11278-2021</t>
        </is>
      </c>
      <c r="B290" s="1" t="n">
        <v>44262</v>
      </c>
      <c r="C290" s="1" t="n">
        <v>45799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Skogsalm</t>
        </is>
      </c>
      <c r="S290">
        <f>HYPERLINK("https://klasma.github.io/Logging_0687/artfynd/A 11278-2021 artfynd.xlsx", "A 11278-2021")</f>
        <v/>
      </c>
      <c r="T290">
        <f>HYPERLINK("https://klasma.github.io/Logging_0687/kartor/A 11278-2021 karta.png", "A 11278-2021")</f>
        <v/>
      </c>
      <c r="V290">
        <f>HYPERLINK("https://klasma.github.io/Logging_0687/klagomål/A 11278-2021 FSC-klagomål.docx", "A 11278-2021")</f>
        <v/>
      </c>
      <c r="W290">
        <f>HYPERLINK("https://klasma.github.io/Logging_0687/klagomålsmail/A 11278-2021 FSC-klagomål mail.docx", "A 11278-2021")</f>
        <v/>
      </c>
      <c r="X290">
        <f>HYPERLINK("https://klasma.github.io/Logging_0687/tillsyn/A 11278-2021 tillsynsbegäran.docx", "A 11278-2021")</f>
        <v/>
      </c>
      <c r="Y290">
        <f>HYPERLINK("https://klasma.github.io/Logging_0687/tillsynsmail/A 11278-2021 tillsynsbegäran mail.docx", "A 11278-2021")</f>
        <v/>
      </c>
    </row>
    <row r="291" ht="15" customHeight="1">
      <c r="A291" t="inlineStr">
        <is>
          <t>A 14138-2021</t>
        </is>
      </c>
      <c r="B291" s="1" t="n">
        <v>44278</v>
      </c>
      <c r="C291" s="1" t="n">
        <v>45799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Svart trolldruva</t>
        </is>
      </c>
      <c r="S291">
        <f>HYPERLINK("https://klasma.github.io/Logging_0680/artfynd/A 14138-2021 artfynd.xlsx", "A 14138-2021")</f>
        <v/>
      </c>
      <c r="T291">
        <f>HYPERLINK("https://klasma.github.io/Logging_0680/kartor/A 14138-2021 karta.png", "A 14138-2021")</f>
        <v/>
      </c>
      <c r="V291">
        <f>HYPERLINK("https://klasma.github.io/Logging_0680/klagomål/A 14138-2021 FSC-klagomål.docx", "A 14138-2021")</f>
        <v/>
      </c>
      <c r="W291">
        <f>HYPERLINK("https://klasma.github.io/Logging_0680/klagomålsmail/A 14138-2021 FSC-klagomål mail.docx", "A 14138-2021")</f>
        <v/>
      </c>
      <c r="X291">
        <f>HYPERLINK("https://klasma.github.io/Logging_0680/tillsyn/A 14138-2021 tillsynsbegäran.docx", "A 14138-2021")</f>
        <v/>
      </c>
      <c r="Y291">
        <f>HYPERLINK("https://klasma.github.io/Logging_0680/tillsynsmail/A 14138-2021 tillsynsbegäran mail.docx", "A 14138-2021")</f>
        <v/>
      </c>
    </row>
    <row r="292" ht="15" customHeight="1">
      <c r="A292" t="inlineStr">
        <is>
          <t>A 14385-2021</t>
        </is>
      </c>
      <c r="B292" s="1" t="n">
        <v>44279</v>
      </c>
      <c r="C292" s="1" t="n">
        <v>45799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14385-2021 artfynd.xlsx", "A 14385-2021")</f>
        <v/>
      </c>
      <c r="T292">
        <f>HYPERLINK("https://klasma.github.io/Logging_0685/kartor/A 14385-2021 karta.png", "A 14385-2021")</f>
        <v/>
      </c>
      <c r="V292">
        <f>HYPERLINK("https://klasma.github.io/Logging_0685/klagomål/A 14385-2021 FSC-klagomål.docx", "A 14385-2021")</f>
        <v/>
      </c>
      <c r="W292">
        <f>HYPERLINK("https://klasma.github.io/Logging_0685/klagomålsmail/A 14385-2021 FSC-klagomål mail.docx", "A 14385-2021")</f>
        <v/>
      </c>
      <c r="X292">
        <f>HYPERLINK("https://klasma.github.io/Logging_0685/tillsyn/A 14385-2021 tillsynsbegäran.docx", "A 14385-2021")</f>
        <v/>
      </c>
      <c r="Y292">
        <f>HYPERLINK("https://klasma.github.io/Logging_0685/tillsynsmail/A 14385-2021 tillsynsbegäran mail.docx", "A 14385-2021")</f>
        <v/>
      </c>
    </row>
    <row r="293" ht="15" customHeight="1">
      <c r="A293" t="inlineStr">
        <is>
          <t>A 18270-2021</t>
        </is>
      </c>
      <c r="B293" s="1" t="n">
        <v>44305</v>
      </c>
      <c r="C293" s="1" t="n">
        <v>45799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Ögonpyrola</t>
        </is>
      </c>
      <c r="S293">
        <f>HYPERLINK("https://klasma.github.io/Logging_0685/artfynd/A 18270-2021 artfynd.xlsx", "A 18270-2021")</f>
        <v/>
      </c>
      <c r="T293">
        <f>HYPERLINK("https://klasma.github.io/Logging_0685/kartor/A 18270-2021 karta.png", "A 18270-2021")</f>
        <v/>
      </c>
      <c r="V293">
        <f>HYPERLINK("https://klasma.github.io/Logging_0685/klagomål/A 18270-2021 FSC-klagomål.docx", "A 18270-2021")</f>
        <v/>
      </c>
      <c r="W293">
        <f>HYPERLINK("https://klasma.github.io/Logging_0685/klagomålsmail/A 18270-2021 FSC-klagomål mail.docx", "A 18270-2021")</f>
        <v/>
      </c>
      <c r="X293">
        <f>HYPERLINK("https://klasma.github.io/Logging_0685/tillsyn/A 18270-2021 tillsynsbegäran.docx", "A 18270-2021")</f>
        <v/>
      </c>
      <c r="Y293">
        <f>HYPERLINK("https://klasma.github.io/Logging_0685/tillsynsmail/A 18270-2021 tillsynsbegäran mail.docx", "A 18270-2021")</f>
        <v/>
      </c>
    </row>
    <row r="294" ht="15" customHeight="1">
      <c r="A294" t="inlineStr">
        <is>
          <t>A 26049-2021</t>
        </is>
      </c>
      <c r="B294" s="1" t="n">
        <v>44344</v>
      </c>
      <c r="C294" s="1" t="n">
        <v>45799</v>
      </c>
      <c r="D294" t="inlineStr">
        <is>
          <t>JÖNKÖPINGS LÄN</t>
        </is>
      </c>
      <c r="E294" t="inlineStr">
        <is>
          <t>VAGGERYD</t>
        </is>
      </c>
      <c r="G294" t="n">
        <v>7.1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Kungsörn</t>
        </is>
      </c>
      <c r="S294">
        <f>HYPERLINK("https://klasma.github.io/Logging_0665/artfynd/A 26049-2021 artfynd.xlsx", "A 26049-2021")</f>
        <v/>
      </c>
      <c r="T294">
        <f>HYPERLINK("https://klasma.github.io/Logging_0665/kartor/A 26049-2021 karta.png", "A 26049-2021")</f>
        <v/>
      </c>
      <c r="V294">
        <f>HYPERLINK("https://klasma.github.io/Logging_0665/klagomål/A 26049-2021 FSC-klagomål.docx", "A 26049-2021")</f>
        <v/>
      </c>
      <c r="W294">
        <f>HYPERLINK("https://klasma.github.io/Logging_0665/klagomålsmail/A 26049-2021 FSC-klagomål mail.docx", "A 26049-2021")</f>
        <v/>
      </c>
      <c r="X294">
        <f>HYPERLINK("https://klasma.github.io/Logging_0665/tillsyn/A 26049-2021 tillsynsbegäran.docx", "A 26049-2021")</f>
        <v/>
      </c>
      <c r="Y294">
        <f>HYPERLINK("https://klasma.github.io/Logging_0665/tillsynsmail/A 26049-2021 tillsynsbegäran mail.docx", "A 26049-2021")</f>
        <v/>
      </c>
      <c r="Z294">
        <f>HYPERLINK("https://klasma.github.io/Logging_0665/fåglar/A 26049-2021 prioriterade fågelarter.docx", "A 26049-2021")</f>
        <v/>
      </c>
    </row>
    <row r="295" ht="15" customHeight="1">
      <c r="A295" t="inlineStr">
        <is>
          <t>A 26343-2021</t>
        </is>
      </c>
      <c r="B295" s="1" t="n">
        <v>44347</v>
      </c>
      <c r="C295" s="1" t="n">
        <v>45799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Dvärghäxört</t>
        </is>
      </c>
      <c r="S295">
        <f>HYPERLINK("https://klasma.github.io/Logging_0680/artfynd/A 26343-2021 artfynd.xlsx", "A 26343-2021")</f>
        <v/>
      </c>
      <c r="T295">
        <f>HYPERLINK("https://klasma.github.io/Logging_0680/kartor/A 26343-2021 karta.png", "A 26343-2021")</f>
        <v/>
      </c>
      <c r="V295">
        <f>HYPERLINK("https://klasma.github.io/Logging_0680/klagomål/A 26343-2021 FSC-klagomål.docx", "A 26343-2021")</f>
        <v/>
      </c>
      <c r="W295">
        <f>HYPERLINK("https://klasma.github.io/Logging_0680/klagomålsmail/A 26343-2021 FSC-klagomål mail.docx", "A 26343-2021")</f>
        <v/>
      </c>
      <c r="X295">
        <f>HYPERLINK("https://klasma.github.io/Logging_0680/tillsyn/A 26343-2021 tillsynsbegäran.docx", "A 26343-2021")</f>
        <v/>
      </c>
      <c r="Y295">
        <f>HYPERLINK("https://klasma.github.io/Logging_0680/tillsynsmail/A 26343-2021 tillsynsbegäran mail.docx", "A 26343-2021")</f>
        <v/>
      </c>
    </row>
    <row r="296" ht="15" customHeight="1">
      <c r="A296" t="inlineStr">
        <is>
          <t>A 31630-2021</t>
        </is>
      </c>
      <c r="B296" s="1" t="n">
        <v>44369</v>
      </c>
      <c r="C296" s="1" t="n">
        <v>45799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HYPERLINK("https://klasma.github.io/Logging_0682/artfynd/A 31630-2021 artfynd.xlsx", "A 31630-2021")</f>
        <v/>
      </c>
      <c r="T296">
        <f>HYPERLINK("https://klasma.github.io/Logging_0682/kartor/A 31630-2021 karta.png", "A 31630-2021")</f>
        <v/>
      </c>
      <c r="V296">
        <f>HYPERLINK("https://klasma.github.io/Logging_0682/klagomål/A 31630-2021 FSC-klagomål.docx", "A 31630-2021")</f>
        <v/>
      </c>
      <c r="W296">
        <f>HYPERLINK("https://klasma.github.io/Logging_0682/klagomålsmail/A 31630-2021 FSC-klagomål mail.docx", "A 31630-2021")</f>
        <v/>
      </c>
      <c r="X296">
        <f>HYPERLINK("https://klasma.github.io/Logging_0682/tillsyn/A 31630-2021 tillsynsbegäran.docx", "A 31630-2021")</f>
        <v/>
      </c>
      <c r="Y296">
        <f>HYPERLINK("https://klasma.github.io/Logging_0682/tillsynsmail/A 31630-2021 tillsynsbegäran mail.docx", "A 31630-2021")</f>
        <v/>
      </c>
    </row>
    <row r="297" ht="15" customHeight="1">
      <c r="A297" t="inlineStr">
        <is>
          <t>A 32245-2021</t>
        </is>
      </c>
      <c r="B297" s="1" t="n">
        <v>44371</v>
      </c>
      <c r="C297" s="1" t="n">
        <v>45799</v>
      </c>
      <c r="D297" t="inlineStr">
        <is>
          <t>JÖNKÖPINGS LÄN</t>
        </is>
      </c>
      <c r="E297" t="inlineStr">
        <is>
          <t>NÄSSJÖ</t>
        </is>
      </c>
      <c r="F297" t="inlineStr">
        <is>
          <t>Kommuner</t>
        </is>
      </c>
      <c r="G297" t="n">
        <v>5.2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HYPERLINK("https://klasma.github.io/Logging_0682/artfynd/A 32245-2021 artfynd.xlsx", "A 32245-2021")</f>
        <v/>
      </c>
      <c r="T297">
        <f>HYPERLINK("https://klasma.github.io/Logging_0682/kartor/A 32245-2021 karta.png", "A 32245-2021")</f>
        <v/>
      </c>
      <c r="V297">
        <f>HYPERLINK("https://klasma.github.io/Logging_0682/klagomål/A 32245-2021 FSC-klagomål.docx", "A 32245-2021")</f>
        <v/>
      </c>
      <c r="W297">
        <f>HYPERLINK("https://klasma.github.io/Logging_0682/klagomålsmail/A 32245-2021 FSC-klagomål mail.docx", "A 32245-2021")</f>
        <v/>
      </c>
      <c r="X297">
        <f>HYPERLINK("https://klasma.github.io/Logging_0682/tillsyn/A 32245-2021 tillsynsbegäran.docx", "A 32245-2021")</f>
        <v/>
      </c>
      <c r="Y297">
        <f>HYPERLINK("https://klasma.github.io/Logging_0682/tillsynsmail/A 32245-2021 tillsynsbegäran mail.docx", "A 32245-2021")</f>
        <v/>
      </c>
    </row>
    <row r="298" ht="15" customHeight="1">
      <c r="A298" t="inlineStr">
        <is>
          <t>A 38072-2021</t>
        </is>
      </c>
      <c r="B298" s="1" t="n">
        <v>44404</v>
      </c>
      <c r="C298" s="1" t="n">
        <v>45799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HYPERLINK("https://klasma.github.io/Logging_0680/artfynd/A 38072-2021 artfynd.xlsx", "A 38072-2021")</f>
        <v/>
      </c>
      <c r="T298">
        <f>HYPERLINK("https://klasma.github.io/Logging_0680/kartor/A 38072-2021 karta.png", "A 38072-2021")</f>
        <v/>
      </c>
      <c r="V298">
        <f>HYPERLINK("https://klasma.github.io/Logging_0680/klagomål/A 38072-2021 FSC-klagomål.docx", "A 38072-2021")</f>
        <v/>
      </c>
      <c r="W298">
        <f>HYPERLINK("https://klasma.github.io/Logging_0680/klagomålsmail/A 38072-2021 FSC-klagomål mail.docx", "A 38072-2021")</f>
        <v/>
      </c>
      <c r="X298">
        <f>HYPERLINK("https://klasma.github.io/Logging_0680/tillsyn/A 38072-2021 tillsynsbegäran.docx", "A 38072-2021")</f>
        <v/>
      </c>
      <c r="Y298">
        <f>HYPERLINK("https://klasma.github.io/Logging_0680/tillsynsmail/A 38072-2021 tillsynsbegäran mail.docx", "A 38072-2021")</f>
        <v/>
      </c>
    </row>
    <row r="299" ht="15" customHeight="1">
      <c r="A299" t="inlineStr">
        <is>
          <t>A 40268-2021</t>
        </is>
      </c>
      <c r="B299" s="1" t="n">
        <v>44419</v>
      </c>
      <c r="C299" s="1" t="n">
        <v>45799</v>
      </c>
      <c r="D299" t="inlineStr">
        <is>
          <t>JÖNKÖPINGS LÄN</t>
        </is>
      </c>
      <c r="E299" t="inlineStr">
        <is>
          <t>JÖNKÖPING</t>
        </is>
      </c>
      <c r="G299" t="n">
        <v>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Strutbräken</t>
        </is>
      </c>
      <c r="S299">
        <f>HYPERLINK("https://klasma.github.io/Logging_0680/artfynd/A 40268-2021 artfynd.xlsx", "A 40268-2021")</f>
        <v/>
      </c>
      <c r="T299">
        <f>HYPERLINK("https://klasma.github.io/Logging_0680/kartor/A 40268-2021 karta.png", "A 40268-2021")</f>
        <v/>
      </c>
      <c r="V299">
        <f>HYPERLINK("https://klasma.github.io/Logging_0680/klagomål/A 40268-2021 FSC-klagomål.docx", "A 40268-2021")</f>
        <v/>
      </c>
      <c r="W299">
        <f>HYPERLINK("https://klasma.github.io/Logging_0680/klagomålsmail/A 40268-2021 FSC-klagomål mail.docx", "A 40268-2021")</f>
        <v/>
      </c>
      <c r="X299">
        <f>HYPERLINK("https://klasma.github.io/Logging_0680/tillsyn/A 40268-2021 tillsynsbegäran.docx", "A 40268-2021")</f>
        <v/>
      </c>
      <c r="Y299">
        <f>HYPERLINK("https://klasma.github.io/Logging_0680/tillsynsmail/A 40268-2021 tillsynsbegäran mail.docx", "A 40268-2021")</f>
        <v/>
      </c>
    </row>
    <row r="300" ht="15" customHeight="1">
      <c r="A300" t="inlineStr">
        <is>
          <t>A 42834-2021</t>
        </is>
      </c>
      <c r="B300" s="1" t="n">
        <v>44430</v>
      </c>
      <c r="C300" s="1" t="n">
        <v>45799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Granbräken</t>
        </is>
      </c>
      <c r="S300">
        <f>HYPERLINK("https://klasma.github.io/Logging_0682/artfynd/A 42834-2021 artfynd.xlsx", "A 42834-2021")</f>
        <v/>
      </c>
      <c r="T300">
        <f>HYPERLINK("https://klasma.github.io/Logging_0682/kartor/A 42834-2021 karta.png", "A 42834-2021")</f>
        <v/>
      </c>
      <c r="V300">
        <f>HYPERLINK("https://klasma.github.io/Logging_0682/klagomål/A 42834-2021 FSC-klagomål.docx", "A 42834-2021")</f>
        <v/>
      </c>
      <c r="W300">
        <f>HYPERLINK("https://klasma.github.io/Logging_0682/klagomålsmail/A 42834-2021 FSC-klagomål mail.docx", "A 42834-2021")</f>
        <v/>
      </c>
      <c r="X300">
        <f>HYPERLINK("https://klasma.github.io/Logging_0682/tillsyn/A 42834-2021 tillsynsbegäran.docx", "A 42834-2021")</f>
        <v/>
      </c>
      <c r="Y300">
        <f>HYPERLINK("https://klasma.github.io/Logging_0682/tillsynsmail/A 42834-2021 tillsynsbegäran mail.docx", "A 42834-2021")</f>
        <v/>
      </c>
    </row>
    <row r="301" ht="15" customHeight="1">
      <c r="A301" t="inlineStr">
        <is>
          <t>A 44177-2021</t>
        </is>
      </c>
      <c r="B301" s="1" t="n">
        <v>44434</v>
      </c>
      <c r="C301" s="1" t="n">
        <v>45799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HYPERLINK("https://klasma.github.io/Logging_0685/artfynd/A 44177-2021 artfynd.xlsx", "A 44177-2021")</f>
        <v/>
      </c>
      <c r="T301">
        <f>HYPERLINK("https://klasma.github.io/Logging_0685/kartor/A 44177-2021 karta.png", "A 44177-2021")</f>
        <v/>
      </c>
      <c r="V301">
        <f>HYPERLINK("https://klasma.github.io/Logging_0685/klagomål/A 44177-2021 FSC-klagomål.docx", "A 44177-2021")</f>
        <v/>
      </c>
      <c r="W301">
        <f>HYPERLINK("https://klasma.github.io/Logging_0685/klagomålsmail/A 44177-2021 FSC-klagomål mail.docx", "A 44177-2021")</f>
        <v/>
      </c>
      <c r="X301">
        <f>HYPERLINK("https://klasma.github.io/Logging_0685/tillsyn/A 44177-2021 tillsynsbegäran.docx", "A 44177-2021")</f>
        <v/>
      </c>
      <c r="Y301">
        <f>HYPERLINK("https://klasma.github.io/Logging_0685/tillsynsmail/A 44177-2021 tillsynsbegäran mail.docx", "A 44177-2021")</f>
        <v/>
      </c>
    </row>
    <row r="302" ht="15" customHeight="1">
      <c r="A302" t="inlineStr">
        <is>
          <t>A 46862-2021</t>
        </is>
      </c>
      <c r="B302" s="1" t="n">
        <v>44446</v>
      </c>
      <c r="C302" s="1" t="n">
        <v>45799</v>
      </c>
      <c r="D302" t="inlineStr">
        <is>
          <t>JÖNKÖPINGS LÄN</t>
        </is>
      </c>
      <c r="E302" t="inlineStr">
        <is>
          <t>VETLANDA</t>
        </is>
      </c>
      <c r="G302" t="n">
        <v>4.1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Svart trolldruva</t>
        </is>
      </c>
      <c r="S302">
        <f>HYPERLINK("https://klasma.github.io/Logging_0685/artfynd/A 46862-2021 artfynd.xlsx", "A 46862-2021")</f>
        <v/>
      </c>
      <c r="T302">
        <f>HYPERLINK("https://klasma.github.io/Logging_0685/kartor/A 46862-2021 karta.png", "A 46862-2021")</f>
        <v/>
      </c>
      <c r="V302">
        <f>HYPERLINK("https://klasma.github.io/Logging_0685/klagomål/A 46862-2021 FSC-klagomål.docx", "A 46862-2021")</f>
        <v/>
      </c>
      <c r="W302">
        <f>HYPERLINK("https://klasma.github.io/Logging_0685/klagomålsmail/A 46862-2021 FSC-klagomål mail.docx", "A 46862-2021")</f>
        <v/>
      </c>
      <c r="X302">
        <f>HYPERLINK("https://klasma.github.io/Logging_0685/tillsyn/A 46862-2021 tillsynsbegäran.docx", "A 46862-2021")</f>
        <v/>
      </c>
      <c r="Y302">
        <f>HYPERLINK("https://klasma.github.io/Logging_0685/tillsynsmail/A 46862-2021 tillsynsbegäran mail.docx", "A 46862-2021")</f>
        <v/>
      </c>
    </row>
    <row r="303" ht="15" customHeight="1">
      <c r="A303" t="inlineStr">
        <is>
          <t>A 48001-2021</t>
        </is>
      </c>
      <c r="B303" s="1" t="n">
        <v>44449</v>
      </c>
      <c r="C303" s="1" t="n">
        <v>45799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Sågtandad mycelbagge</t>
        </is>
      </c>
      <c r="S303">
        <f>HYPERLINK("https://klasma.github.io/Logging_0680/artfynd/A 48001-2021 artfynd.xlsx", "A 48001-2021")</f>
        <v/>
      </c>
      <c r="T303">
        <f>HYPERLINK("https://klasma.github.io/Logging_0680/kartor/A 48001-2021 karta.png", "A 48001-2021")</f>
        <v/>
      </c>
      <c r="V303">
        <f>HYPERLINK("https://klasma.github.io/Logging_0680/klagomål/A 48001-2021 FSC-klagomål.docx", "A 48001-2021")</f>
        <v/>
      </c>
      <c r="W303">
        <f>HYPERLINK("https://klasma.github.io/Logging_0680/klagomålsmail/A 48001-2021 FSC-klagomål mail.docx", "A 48001-2021")</f>
        <v/>
      </c>
      <c r="X303">
        <f>HYPERLINK("https://klasma.github.io/Logging_0680/tillsyn/A 48001-2021 tillsynsbegäran.docx", "A 48001-2021")</f>
        <v/>
      </c>
      <c r="Y303">
        <f>HYPERLINK("https://klasma.github.io/Logging_0680/tillsynsmail/A 48001-2021 tillsynsbegäran mail.docx", "A 48001-2021")</f>
        <v/>
      </c>
    </row>
    <row r="304" ht="15" customHeight="1">
      <c r="A304" t="inlineStr">
        <is>
          <t>A 49388-2021</t>
        </is>
      </c>
      <c r="B304" s="1" t="n">
        <v>44454</v>
      </c>
      <c r="C304" s="1" t="n">
        <v>45799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HYPERLINK("https://klasma.github.io/Logging_0685/artfynd/A 49388-2021 artfynd.xlsx", "A 49388-2021")</f>
        <v/>
      </c>
      <c r="T304">
        <f>HYPERLINK("https://klasma.github.io/Logging_0685/kartor/A 49388-2021 karta.png", "A 49388-2021")</f>
        <v/>
      </c>
      <c r="V304">
        <f>HYPERLINK("https://klasma.github.io/Logging_0685/klagomål/A 49388-2021 FSC-klagomål.docx", "A 49388-2021")</f>
        <v/>
      </c>
      <c r="W304">
        <f>HYPERLINK("https://klasma.github.io/Logging_0685/klagomålsmail/A 49388-2021 FSC-klagomål mail.docx", "A 49388-2021")</f>
        <v/>
      </c>
      <c r="X304">
        <f>HYPERLINK("https://klasma.github.io/Logging_0685/tillsyn/A 49388-2021 tillsynsbegäran.docx", "A 49388-2021")</f>
        <v/>
      </c>
      <c r="Y304">
        <f>HYPERLINK("https://klasma.github.io/Logging_0685/tillsynsmail/A 49388-2021 tillsynsbegäran mail.docx", "A 49388-2021")</f>
        <v/>
      </c>
    </row>
    <row r="305" ht="15" customHeight="1">
      <c r="A305" t="inlineStr">
        <is>
          <t>A 51852-2021</t>
        </is>
      </c>
      <c r="B305" s="1" t="n">
        <v>44462</v>
      </c>
      <c r="C305" s="1" t="n">
        <v>45799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HYPERLINK("https://klasma.github.io/Logging_0685/artfynd/A 51852-2021 artfynd.xlsx", "A 51852-2021")</f>
        <v/>
      </c>
      <c r="T305">
        <f>HYPERLINK("https://klasma.github.io/Logging_0685/kartor/A 51852-2021 karta.png", "A 51852-2021")</f>
        <v/>
      </c>
      <c r="V305">
        <f>HYPERLINK("https://klasma.github.io/Logging_0685/klagomål/A 51852-2021 FSC-klagomål.docx", "A 51852-2021")</f>
        <v/>
      </c>
      <c r="W305">
        <f>HYPERLINK("https://klasma.github.io/Logging_0685/klagomålsmail/A 51852-2021 FSC-klagomål mail.docx", "A 51852-2021")</f>
        <v/>
      </c>
      <c r="X305">
        <f>HYPERLINK("https://klasma.github.io/Logging_0685/tillsyn/A 51852-2021 tillsynsbegäran.docx", "A 51852-2021")</f>
        <v/>
      </c>
      <c r="Y305">
        <f>HYPERLINK("https://klasma.github.io/Logging_0685/tillsynsmail/A 51852-2021 tillsynsbegäran mail.docx", "A 51852-2021")</f>
        <v/>
      </c>
    </row>
    <row r="306" ht="15" customHeight="1">
      <c r="A306" t="inlineStr">
        <is>
          <t>A 52023-2021</t>
        </is>
      </c>
      <c r="B306" s="1" t="n">
        <v>44463</v>
      </c>
      <c r="C306" s="1" t="n">
        <v>45799</v>
      </c>
      <c r="D306" t="inlineStr">
        <is>
          <t>JÖNKÖPINGS LÄN</t>
        </is>
      </c>
      <c r="E306" t="inlineStr">
        <is>
          <t>JÖNKÖPING</t>
        </is>
      </c>
      <c r="G306" t="n">
        <v>2.9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Springkorn</t>
        </is>
      </c>
      <c r="S306">
        <f>HYPERLINK("https://klasma.github.io/Logging_0680/artfynd/A 52023-2021 artfynd.xlsx", "A 52023-2021")</f>
        <v/>
      </c>
      <c r="T306">
        <f>HYPERLINK("https://klasma.github.io/Logging_0680/kartor/A 52023-2021 karta.png", "A 52023-2021")</f>
        <v/>
      </c>
      <c r="V306">
        <f>HYPERLINK("https://klasma.github.io/Logging_0680/klagomål/A 52023-2021 FSC-klagomål.docx", "A 52023-2021")</f>
        <v/>
      </c>
      <c r="W306">
        <f>HYPERLINK("https://klasma.github.io/Logging_0680/klagomålsmail/A 52023-2021 FSC-klagomål mail.docx", "A 52023-2021")</f>
        <v/>
      </c>
      <c r="X306">
        <f>HYPERLINK("https://klasma.github.io/Logging_0680/tillsyn/A 52023-2021 tillsynsbegäran.docx", "A 52023-2021")</f>
        <v/>
      </c>
      <c r="Y306">
        <f>HYPERLINK("https://klasma.github.io/Logging_0680/tillsynsmail/A 52023-2021 tillsynsbegäran mail.docx", "A 52023-2021")</f>
        <v/>
      </c>
    </row>
    <row r="307" ht="15" customHeight="1">
      <c r="A307" t="inlineStr">
        <is>
          <t>A 53025-2021</t>
        </is>
      </c>
      <c r="B307" s="1" t="n">
        <v>44467</v>
      </c>
      <c r="C307" s="1" t="n">
        <v>45799</v>
      </c>
      <c r="D307" t="inlineStr">
        <is>
          <t>JÖNKÖPINGS LÄN</t>
        </is>
      </c>
      <c r="E307" t="inlineStr">
        <is>
          <t>JÖNKÖPING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Slåttergubbe</t>
        </is>
      </c>
      <c r="S307">
        <f>HYPERLINK("https://klasma.github.io/Logging_0680/artfynd/A 53025-2021 artfynd.xlsx", "A 53025-2021")</f>
        <v/>
      </c>
      <c r="T307">
        <f>HYPERLINK("https://klasma.github.io/Logging_0680/kartor/A 53025-2021 karta.png", "A 53025-2021")</f>
        <v/>
      </c>
      <c r="V307">
        <f>HYPERLINK("https://klasma.github.io/Logging_0680/klagomål/A 53025-2021 FSC-klagomål.docx", "A 53025-2021")</f>
        <v/>
      </c>
      <c r="W307">
        <f>HYPERLINK("https://klasma.github.io/Logging_0680/klagomålsmail/A 53025-2021 FSC-klagomål mail.docx", "A 53025-2021")</f>
        <v/>
      </c>
      <c r="X307">
        <f>HYPERLINK("https://klasma.github.io/Logging_0680/tillsyn/A 53025-2021 tillsynsbegäran.docx", "A 53025-2021")</f>
        <v/>
      </c>
      <c r="Y307">
        <f>HYPERLINK("https://klasma.github.io/Logging_0680/tillsynsmail/A 53025-2021 tillsynsbegäran mail.docx", "A 53025-2021")</f>
        <v/>
      </c>
    </row>
    <row r="308" ht="15" customHeight="1">
      <c r="A308" t="inlineStr">
        <is>
          <t>A 53670-2021</t>
        </is>
      </c>
      <c r="B308" s="1" t="n">
        <v>44469</v>
      </c>
      <c r="C308" s="1" t="n">
        <v>45799</v>
      </c>
      <c r="D308" t="inlineStr">
        <is>
          <t>JÖNKÖPINGS LÄN</t>
        </is>
      </c>
      <c r="E308" t="inlineStr">
        <is>
          <t>JÖNKÖPING</t>
        </is>
      </c>
      <c r="G308" t="n">
        <v>4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HYPERLINK("https://klasma.github.io/Logging_0680/artfynd/A 53670-2021 artfynd.xlsx", "A 53670-2021")</f>
        <v/>
      </c>
      <c r="T308">
        <f>HYPERLINK("https://klasma.github.io/Logging_0680/kartor/A 53670-2021 karta.png", "A 53670-2021")</f>
        <v/>
      </c>
      <c r="U308">
        <f>HYPERLINK("https://klasma.github.io/Logging_0680/knärot/A 53670-2021 karta knärot.png", "A 53670-2021")</f>
        <v/>
      </c>
      <c r="V308">
        <f>HYPERLINK("https://klasma.github.io/Logging_0680/klagomål/A 53670-2021 FSC-klagomål.docx", "A 53670-2021")</f>
        <v/>
      </c>
      <c r="W308">
        <f>HYPERLINK("https://klasma.github.io/Logging_0680/klagomålsmail/A 53670-2021 FSC-klagomål mail.docx", "A 53670-2021")</f>
        <v/>
      </c>
      <c r="X308">
        <f>HYPERLINK("https://klasma.github.io/Logging_0680/tillsyn/A 53670-2021 tillsynsbegäran.docx", "A 53670-2021")</f>
        <v/>
      </c>
      <c r="Y308">
        <f>HYPERLINK("https://klasma.github.io/Logging_0680/tillsynsmail/A 53670-2021 tillsynsbegäran mail.docx", "A 53670-2021")</f>
        <v/>
      </c>
    </row>
    <row r="309" ht="15" customHeight="1">
      <c r="A309" t="inlineStr">
        <is>
          <t>A 61201-2021</t>
        </is>
      </c>
      <c r="B309" s="1" t="n">
        <v>44498</v>
      </c>
      <c r="C309" s="1" t="n">
        <v>45799</v>
      </c>
      <c r="D309" t="inlineStr">
        <is>
          <t>JÖNKÖPINGS LÄN</t>
        </is>
      </c>
      <c r="E309" t="inlineStr">
        <is>
          <t>NÄSSJÖ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HYPERLINK("https://klasma.github.io/Logging_0682/artfynd/A 61201-2021 artfynd.xlsx", "A 61201-2021")</f>
        <v/>
      </c>
      <c r="T309">
        <f>HYPERLINK("https://klasma.github.io/Logging_0682/kartor/A 61201-2021 karta.png", "A 61201-2021")</f>
        <v/>
      </c>
      <c r="V309">
        <f>HYPERLINK("https://klasma.github.io/Logging_0682/klagomål/A 61201-2021 FSC-klagomål.docx", "A 61201-2021")</f>
        <v/>
      </c>
      <c r="W309">
        <f>HYPERLINK("https://klasma.github.io/Logging_0682/klagomålsmail/A 61201-2021 FSC-klagomål mail.docx", "A 61201-2021")</f>
        <v/>
      </c>
      <c r="X309">
        <f>HYPERLINK("https://klasma.github.io/Logging_0682/tillsyn/A 61201-2021 tillsynsbegäran.docx", "A 61201-2021")</f>
        <v/>
      </c>
      <c r="Y309">
        <f>HYPERLINK("https://klasma.github.io/Logging_0682/tillsynsmail/A 61201-2021 tillsynsbegäran mail.docx", "A 61201-2021")</f>
        <v/>
      </c>
    </row>
    <row r="310" ht="15" customHeight="1">
      <c r="A310" t="inlineStr">
        <is>
          <t>A 63418-2021</t>
        </is>
      </c>
      <c r="B310" s="1" t="n">
        <v>44508</v>
      </c>
      <c r="C310" s="1" t="n">
        <v>45799</v>
      </c>
      <c r="D310" t="inlineStr">
        <is>
          <t>JÖNKÖPINGS LÄN</t>
        </is>
      </c>
      <c r="E310" t="inlineStr">
        <is>
          <t>VÄRNAMO</t>
        </is>
      </c>
      <c r="G310" t="n">
        <v>8.4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Motaggsvamp</t>
        </is>
      </c>
      <c r="S310">
        <f>HYPERLINK("https://klasma.github.io/Logging_0683/artfynd/A 63418-2021 artfynd.xlsx", "A 63418-2021")</f>
        <v/>
      </c>
      <c r="T310">
        <f>HYPERLINK("https://klasma.github.io/Logging_0683/kartor/A 63418-2021 karta.png", "A 63418-2021")</f>
        <v/>
      </c>
      <c r="V310">
        <f>HYPERLINK("https://klasma.github.io/Logging_0683/klagomål/A 63418-2021 FSC-klagomål.docx", "A 63418-2021")</f>
        <v/>
      </c>
      <c r="W310">
        <f>HYPERLINK("https://klasma.github.io/Logging_0683/klagomålsmail/A 63418-2021 FSC-klagomål mail.docx", "A 63418-2021")</f>
        <v/>
      </c>
      <c r="X310">
        <f>HYPERLINK("https://klasma.github.io/Logging_0683/tillsyn/A 63418-2021 tillsynsbegäran.docx", "A 63418-2021")</f>
        <v/>
      </c>
      <c r="Y310">
        <f>HYPERLINK("https://klasma.github.io/Logging_0683/tillsynsmail/A 63418-2021 tillsynsbegäran mail.docx", "A 63418-2021")</f>
        <v/>
      </c>
    </row>
    <row r="311" ht="15" customHeight="1">
      <c r="A311" t="inlineStr">
        <is>
          <t>A 63467-2021</t>
        </is>
      </c>
      <c r="B311" s="1" t="n">
        <v>44508</v>
      </c>
      <c r="C311" s="1" t="n">
        <v>45799</v>
      </c>
      <c r="D311" t="inlineStr">
        <is>
          <t>JÖNKÖPINGS LÄN</t>
        </is>
      </c>
      <c r="E311" t="inlineStr">
        <is>
          <t>ANEBY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Åkerrättika</t>
        </is>
      </c>
      <c r="S311">
        <f>HYPERLINK("https://klasma.github.io/Logging_0604/artfynd/A 63467-2021 artfynd.xlsx", "A 63467-2021")</f>
        <v/>
      </c>
      <c r="T311">
        <f>HYPERLINK("https://klasma.github.io/Logging_0604/kartor/A 63467-2021 karta.png", "A 63467-2021")</f>
        <v/>
      </c>
      <c r="V311">
        <f>HYPERLINK("https://klasma.github.io/Logging_0604/klagomål/A 63467-2021 FSC-klagomål.docx", "A 63467-2021")</f>
        <v/>
      </c>
      <c r="W311">
        <f>HYPERLINK("https://klasma.github.io/Logging_0604/klagomålsmail/A 63467-2021 FSC-klagomål mail.docx", "A 63467-2021")</f>
        <v/>
      </c>
      <c r="X311">
        <f>HYPERLINK("https://klasma.github.io/Logging_0604/tillsyn/A 63467-2021 tillsynsbegäran.docx", "A 63467-2021")</f>
        <v/>
      </c>
      <c r="Y311">
        <f>HYPERLINK("https://klasma.github.io/Logging_0604/tillsynsmail/A 63467-2021 tillsynsbegäran mail.docx", "A 63467-2021")</f>
        <v/>
      </c>
    </row>
    <row r="312" ht="15" customHeight="1">
      <c r="A312" t="inlineStr">
        <is>
          <t>A 64995-2021</t>
        </is>
      </c>
      <c r="B312" s="1" t="n">
        <v>44514</v>
      </c>
      <c r="C312" s="1" t="n">
        <v>45799</v>
      </c>
      <c r="D312" t="inlineStr">
        <is>
          <t>JÖNKÖPINGS LÄN</t>
        </is>
      </c>
      <c r="E312" t="inlineStr">
        <is>
          <t>VETLANDA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Trollsmultron</t>
        </is>
      </c>
      <c r="S312">
        <f>HYPERLINK("https://klasma.github.io/Logging_0685/artfynd/A 64995-2021 artfynd.xlsx", "A 64995-2021")</f>
        <v/>
      </c>
      <c r="T312">
        <f>HYPERLINK("https://klasma.github.io/Logging_0685/kartor/A 64995-2021 karta.png", "A 64995-2021")</f>
        <v/>
      </c>
      <c r="V312">
        <f>HYPERLINK("https://klasma.github.io/Logging_0685/klagomål/A 64995-2021 FSC-klagomål.docx", "A 64995-2021")</f>
        <v/>
      </c>
      <c r="W312">
        <f>HYPERLINK("https://klasma.github.io/Logging_0685/klagomålsmail/A 64995-2021 FSC-klagomål mail.docx", "A 64995-2021")</f>
        <v/>
      </c>
      <c r="X312">
        <f>HYPERLINK("https://klasma.github.io/Logging_0685/tillsyn/A 64995-2021 tillsynsbegäran.docx", "A 64995-2021")</f>
        <v/>
      </c>
      <c r="Y312">
        <f>HYPERLINK("https://klasma.github.io/Logging_0685/tillsynsmail/A 64995-2021 tillsynsbegäran mail.docx", "A 64995-2021")</f>
        <v/>
      </c>
    </row>
    <row r="313" ht="15" customHeight="1">
      <c r="A313" t="inlineStr">
        <is>
          <t>A 68409-2021</t>
        </is>
      </c>
      <c r="B313" s="1" t="n">
        <v>44529</v>
      </c>
      <c r="C313" s="1" t="n">
        <v>45799</v>
      </c>
      <c r="D313" t="inlineStr">
        <is>
          <t>JÖNKÖPINGS LÄN</t>
        </is>
      </c>
      <c r="E313" t="inlineStr">
        <is>
          <t>NÄSSJÖ</t>
        </is>
      </c>
      <c r="G313" t="n">
        <v>3.8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Åkerkål</t>
        </is>
      </c>
      <c r="S313">
        <f>HYPERLINK("https://klasma.github.io/Logging_0682/artfynd/A 68409-2021 artfynd.xlsx", "A 68409-2021")</f>
        <v/>
      </c>
      <c r="T313">
        <f>HYPERLINK("https://klasma.github.io/Logging_0682/kartor/A 68409-2021 karta.png", "A 68409-2021")</f>
        <v/>
      </c>
      <c r="V313">
        <f>HYPERLINK("https://klasma.github.io/Logging_0682/klagomål/A 68409-2021 FSC-klagomål.docx", "A 68409-2021")</f>
        <v/>
      </c>
      <c r="W313">
        <f>HYPERLINK("https://klasma.github.io/Logging_0682/klagomålsmail/A 68409-2021 FSC-klagomål mail.docx", "A 68409-2021")</f>
        <v/>
      </c>
      <c r="X313">
        <f>HYPERLINK("https://klasma.github.io/Logging_0682/tillsyn/A 68409-2021 tillsynsbegäran.docx", "A 68409-2021")</f>
        <v/>
      </c>
      <c r="Y313">
        <f>HYPERLINK("https://klasma.github.io/Logging_0682/tillsynsmail/A 68409-2021 tillsynsbegäran mail.docx", "A 68409-2021")</f>
        <v/>
      </c>
    </row>
    <row r="314" ht="15" customHeight="1">
      <c r="A314" t="inlineStr">
        <is>
          <t>A 69075-2021</t>
        </is>
      </c>
      <c r="B314" s="1" t="n">
        <v>44530</v>
      </c>
      <c r="C314" s="1" t="n">
        <v>45799</v>
      </c>
      <c r="D314" t="inlineStr">
        <is>
          <t>JÖNKÖPINGS LÄN</t>
        </is>
      </c>
      <c r="E314" t="inlineStr">
        <is>
          <t>GISLAVED</t>
        </is>
      </c>
      <c r="G314" t="n">
        <v>2.1</v>
      </c>
      <c r="H314" t="n">
        <v>1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Bredgentiana</t>
        </is>
      </c>
      <c r="S314">
        <f>HYPERLINK("https://klasma.github.io/Logging_0662/artfynd/A 69075-2021 artfynd.xlsx", "A 69075-2021")</f>
        <v/>
      </c>
      <c r="T314">
        <f>HYPERLINK("https://klasma.github.io/Logging_0662/kartor/A 69075-2021 karta.png", "A 69075-2021")</f>
        <v/>
      </c>
      <c r="V314">
        <f>HYPERLINK("https://klasma.github.io/Logging_0662/klagomål/A 69075-2021 FSC-klagomål.docx", "A 69075-2021")</f>
        <v/>
      </c>
      <c r="W314">
        <f>HYPERLINK("https://klasma.github.io/Logging_0662/klagomålsmail/A 69075-2021 FSC-klagomål mail.docx", "A 69075-2021")</f>
        <v/>
      </c>
      <c r="X314">
        <f>HYPERLINK("https://klasma.github.io/Logging_0662/tillsyn/A 69075-2021 tillsynsbegäran.docx", "A 69075-2021")</f>
        <v/>
      </c>
      <c r="Y314">
        <f>HYPERLINK("https://klasma.github.io/Logging_0662/tillsynsmail/A 69075-2021 tillsynsbegäran mail.docx", "A 69075-2021")</f>
        <v/>
      </c>
    </row>
    <row r="315" ht="15" customHeight="1">
      <c r="A315" t="inlineStr">
        <is>
          <t>A 70820-2021</t>
        </is>
      </c>
      <c r="B315" s="1" t="n">
        <v>44537</v>
      </c>
      <c r="C315" s="1" t="n">
        <v>45799</v>
      </c>
      <c r="D315" t="inlineStr">
        <is>
          <t>JÖNKÖPINGS LÄN</t>
        </is>
      </c>
      <c r="E315" t="inlineStr">
        <is>
          <t>NÄSSJÖ</t>
        </is>
      </c>
      <c r="G315" t="n">
        <v>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Lappuggla</t>
        </is>
      </c>
      <c r="S315">
        <f>HYPERLINK("https://klasma.github.io/Logging_0682/artfynd/A 70820-2021 artfynd.xlsx", "A 70820-2021")</f>
        <v/>
      </c>
      <c r="T315">
        <f>HYPERLINK("https://klasma.github.io/Logging_0682/kartor/A 70820-2021 karta.png", "A 70820-2021")</f>
        <v/>
      </c>
      <c r="V315">
        <f>HYPERLINK("https://klasma.github.io/Logging_0682/klagomål/A 70820-2021 FSC-klagomål.docx", "A 70820-2021")</f>
        <v/>
      </c>
      <c r="W315">
        <f>HYPERLINK("https://klasma.github.io/Logging_0682/klagomålsmail/A 70820-2021 FSC-klagomål mail.docx", "A 70820-2021")</f>
        <v/>
      </c>
      <c r="X315">
        <f>HYPERLINK("https://klasma.github.io/Logging_0682/tillsyn/A 70820-2021 tillsynsbegäran.docx", "A 70820-2021")</f>
        <v/>
      </c>
      <c r="Y315">
        <f>HYPERLINK("https://klasma.github.io/Logging_0682/tillsynsmail/A 70820-2021 tillsynsbegäran mail.docx", "A 70820-2021")</f>
        <v/>
      </c>
      <c r="Z315">
        <f>HYPERLINK("https://klasma.github.io/Logging_0682/fåglar/A 70820-2021 prioriterade fågelarter.docx", "A 70820-2021")</f>
        <v/>
      </c>
    </row>
    <row r="316" ht="15" customHeight="1">
      <c r="A316" t="inlineStr">
        <is>
          <t>A 412-2022</t>
        </is>
      </c>
      <c r="B316" s="1" t="n">
        <v>44565</v>
      </c>
      <c r="C316" s="1" t="n">
        <v>45799</v>
      </c>
      <c r="D316" t="inlineStr">
        <is>
          <t>JÖNKÖPINGS LÄN</t>
        </is>
      </c>
      <c r="E316" t="inlineStr">
        <is>
          <t>ANEBY</t>
        </is>
      </c>
      <c r="G316" t="n">
        <v>6.7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Fläcknycklar</t>
        </is>
      </c>
      <c r="S316">
        <f>HYPERLINK("https://klasma.github.io/Logging_0604/artfynd/A 412-2022 artfynd.xlsx", "A 412-2022")</f>
        <v/>
      </c>
      <c r="T316">
        <f>HYPERLINK("https://klasma.github.io/Logging_0604/kartor/A 412-2022 karta.png", "A 412-2022")</f>
        <v/>
      </c>
      <c r="V316">
        <f>HYPERLINK("https://klasma.github.io/Logging_0604/klagomål/A 412-2022 FSC-klagomål.docx", "A 412-2022")</f>
        <v/>
      </c>
      <c r="W316">
        <f>HYPERLINK("https://klasma.github.io/Logging_0604/klagomålsmail/A 412-2022 FSC-klagomål mail.docx", "A 412-2022")</f>
        <v/>
      </c>
      <c r="X316">
        <f>HYPERLINK("https://klasma.github.io/Logging_0604/tillsyn/A 412-2022 tillsynsbegäran.docx", "A 412-2022")</f>
        <v/>
      </c>
      <c r="Y316">
        <f>HYPERLINK("https://klasma.github.io/Logging_0604/tillsynsmail/A 412-2022 tillsynsbegäran mail.docx", "A 412-2022")</f>
        <v/>
      </c>
    </row>
    <row r="317" ht="15" customHeight="1">
      <c r="A317" t="inlineStr">
        <is>
          <t>A 1304-2022</t>
        </is>
      </c>
      <c r="B317" s="1" t="n">
        <v>44572</v>
      </c>
      <c r="C317" s="1" t="n">
        <v>45799</v>
      </c>
      <c r="D317" t="inlineStr">
        <is>
          <t>JÖNKÖPINGS LÄN</t>
        </is>
      </c>
      <c r="E317" t="inlineStr">
        <is>
          <t>SÄVSJÖ</t>
        </is>
      </c>
      <c r="G317" t="n">
        <v>3.6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Fjällvråk</t>
        </is>
      </c>
      <c r="S317">
        <f>HYPERLINK("https://klasma.github.io/Logging_0684/artfynd/A 1304-2022 artfynd.xlsx", "A 1304-2022")</f>
        <v/>
      </c>
      <c r="T317">
        <f>HYPERLINK("https://klasma.github.io/Logging_0684/kartor/A 1304-2022 karta.png", "A 1304-2022")</f>
        <v/>
      </c>
      <c r="V317">
        <f>HYPERLINK("https://klasma.github.io/Logging_0684/klagomål/A 1304-2022 FSC-klagomål.docx", "A 1304-2022")</f>
        <v/>
      </c>
      <c r="W317">
        <f>HYPERLINK("https://klasma.github.io/Logging_0684/klagomålsmail/A 1304-2022 FSC-klagomål mail.docx", "A 1304-2022")</f>
        <v/>
      </c>
      <c r="X317">
        <f>HYPERLINK("https://klasma.github.io/Logging_0684/tillsyn/A 1304-2022 tillsynsbegäran.docx", "A 1304-2022")</f>
        <v/>
      </c>
      <c r="Y317">
        <f>HYPERLINK("https://klasma.github.io/Logging_0684/tillsynsmail/A 1304-2022 tillsynsbegäran mail.docx", "A 1304-2022")</f>
        <v/>
      </c>
      <c r="Z317">
        <f>HYPERLINK("https://klasma.github.io/Logging_0684/fåglar/A 1304-2022 prioriterade fågelarter.docx", "A 1304-2022")</f>
        <v/>
      </c>
    </row>
    <row r="318" ht="15" customHeight="1">
      <c r="A318" t="inlineStr">
        <is>
          <t>A 5254-2022</t>
        </is>
      </c>
      <c r="B318" s="1" t="n">
        <v>44594</v>
      </c>
      <c r="C318" s="1" t="n">
        <v>45799</v>
      </c>
      <c r="D318" t="inlineStr">
        <is>
          <t>JÖNKÖPINGS LÄN</t>
        </is>
      </c>
      <c r="E318" t="inlineStr">
        <is>
          <t>JÖNKÖPING</t>
        </is>
      </c>
      <c r="G318" t="n">
        <v>4.5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Gråvaxing</t>
        </is>
      </c>
      <c r="S318">
        <f>HYPERLINK("https://klasma.github.io/Logging_0680/artfynd/A 5254-2022 artfynd.xlsx", "A 5254-2022")</f>
        <v/>
      </c>
      <c r="T318">
        <f>HYPERLINK("https://klasma.github.io/Logging_0680/kartor/A 5254-2022 karta.png", "A 5254-2022")</f>
        <v/>
      </c>
      <c r="V318">
        <f>HYPERLINK("https://klasma.github.io/Logging_0680/klagomål/A 5254-2022 FSC-klagomål.docx", "A 5254-2022")</f>
        <v/>
      </c>
      <c r="W318">
        <f>HYPERLINK("https://klasma.github.io/Logging_0680/klagomålsmail/A 5254-2022 FSC-klagomål mail.docx", "A 5254-2022")</f>
        <v/>
      </c>
      <c r="X318">
        <f>HYPERLINK("https://klasma.github.io/Logging_0680/tillsyn/A 5254-2022 tillsynsbegäran.docx", "A 5254-2022")</f>
        <v/>
      </c>
      <c r="Y318">
        <f>HYPERLINK("https://klasma.github.io/Logging_0680/tillsynsmail/A 5254-2022 tillsynsbegäran mail.docx", "A 5254-2022")</f>
        <v/>
      </c>
    </row>
    <row r="319" ht="15" customHeight="1">
      <c r="A319" t="inlineStr">
        <is>
          <t>A 5498-2022</t>
        </is>
      </c>
      <c r="B319" s="1" t="n">
        <v>44595</v>
      </c>
      <c r="C319" s="1" t="n">
        <v>45799</v>
      </c>
      <c r="D319" t="inlineStr">
        <is>
          <t>JÖNKÖPINGS LÄN</t>
        </is>
      </c>
      <c r="E319" t="inlineStr">
        <is>
          <t>VETLANDA</t>
        </is>
      </c>
      <c r="G319" t="n">
        <v>3.5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HYPERLINK("https://klasma.github.io/Logging_0685/artfynd/A 5498-2022 artfynd.xlsx", "A 5498-2022")</f>
        <v/>
      </c>
      <c r="T319">
        <f>HYPERLINK("https://klasma.github.io/Logging_0685/kartor/A 5498-2022 karta.png", "A 5498-2022")</f>
        <v/>
      </c>
      <c r="V319">
        <f>HYPERLINK("https://klasma.github.io/Logging_0685/klagomål/A 5498-2022 FSC-klagomål.docx", "A 5498-2022")</f>
        <v/>
      </c>
      <c r="W319">
        <f>HYPERLINK("https://klasma.github.io/Logging_0685/klagomålsmail/A 5498-2022 FSC-klagomål mail.docx", "A 5498-2022")</f>
        <v/>
      </c>
      <c r="X319">
        <f>HYPERLINK("https://klasma.github.io/Logging_0685/tillsyn/A 5498-2022 tillsynsbegäran.docx", "A 5498-2022")</f>
        <v/>
      </c>
      <c r="Y319">
        <f>HYPERLINK("https://klasma.github.io/Logging_0685/tillsynsmail/A 5498-2022 tillsynsbegäran mail.docx", "A 5498-2022")</f>
        <v/>
      </c>
    </row>
    <row r="320" ht="15" customHeight="1">
      <c r="A320" t="inlineStr">
        <is>
          <t>A 6671-2022</t>
        </is>
      </c>
      <c r="B320" s="1" t="n">
        <v>44602</v>
      </c>
      <c r="C320" s="1" t="n">
        <v>45799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Plattlummer</t>
        </is>
      </c>
      <c r="S320">
        <f>HYPERLINK("https://klasma.github.io/Logging_0683/artfynd/A 6671-2022 artfynd.xlsx", "A 6671-2022")</f>
        <v/>
      </c>
      <c r="T320">
        <f>HYPERLINK("https://klasma.github.io/Logging_0683/kartor/A 6671-2022 karta.png", "A 6671-2022")</f>
        <v/>
      </c>
      <c r="V320">
        <f>HYPERLINK("https://klasma.github.io/Logging_0683/klagomål/A 6671-2022 FSC-klagomål.docx", "A 6671-2022")</f>
        <v/>
      </c>
      <c r="W320">
        <f>HYPERLINK("https://klasma.github.io/Logging_0683/klagomålsmail/A 6671-2022 FSC-klagomål mail.docx", "A 6671-2022")</f>
        <v/>
      </c>
      <c r="X320">
        <f>HYPERLINK("https://klasma.github.io/Logging_0683/tillsyn/A 6671-2022 tillsynsbegäran.docx", "A 6671-2022")</f>
        <v/>
      </c>
      <c r="Y320">
        <f>HYPERLINK("https://klasma.github.io/Logging_0683/tillsynsmail/A 6671-2022 tillsynsbegäran mail.docx", "A 6671-2022")</f>
        <v/>
      </c>
    </row>
    <row r="321" ht="15" customHeight="1">
      <c r="A321" t="inlineStr">
        <is>
          <t>A 13839-2022</t>
        </is>
      </c>
      <c r="B321" s="1" t="n">
        <v>44649</v>
      </c>
      <c r="C321" s="1" t="n">
        <v>45799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HYPERLINK("https://klasma.github.io/Logging_0686/artfynd/A 13839-2022 artfynd.xlsx", "A 13839-2022")</f>
        <v/>
      </c>
      <c r="T321">
        <f>HYPERLINK("https://klasma.github.io/Logging_0686/kartor/A 13839-2022 karta.png", "A 13839-2022")</f>
        <v/>
      </c>
      <c r="V321">
        <f>HYPERLINK("https://klasma.github.io/Logging_0686/klagomål/A 13839-2022 FSC-klagomål.docx", "A 13839-2022")</f>
        <v/>
      </c>
      <c r="W321">
        <f>HYPERLINK("https://klasma.github.io/Logging_0686/klagomålsmail/A 13839-2022 FSC-klagomål mail.docx", "A 13839-2022")</f>
        <v/>
      </c>
      <c r="X321">
        <f>HYPERLINK("https://klasma.github.io/Logging_0686/tillsyn/A 13839-2022 tillsynsbegäran.docx", "A 13839-2022")</f>
        <v/>
      </c>
      <c r="Y321">
        <f>HYPERLINK("https://klasma.github.io/Logging_0686/tillsynsmail/A 13839-2022 tillsynsbegäran mail.docx", "A 13839-2022")</f>
        <v/>
      </c>
    </row>
    <row r="322" ht="15" customHeight="1">
      <c r="A322" t="inlineStr">
        <is>
          <t>A 13954-2022</t>
        </is>
      </c>
      <c r="B322" s="1" t="n">
        <v>44650</v>
      </c>
      <c r="C322" s="1" t="n">
        <v>45799</v>
      </c>
      <c r="D322" t="inlineStr">
        <is>
          <t>JÖNKÖPINGS LÄN</t>
        </is>
      </c>
      <c r="E322" t="inlineStr">
        <is>
          <t>VAGGERYD</t>
        </is>
      </c>
      <c r="G322" t="n">
        <v>3.6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Igelkott</t>
        </is>
      </c>
      <c r="S322">
        <f>HYPERLINK("https://klasma.github.io/Logging_0665/artfynd/A 13954-2022 artfynd.xlsx", "A 13954-2022")</f>
        <v/>
      </c>
      <c r="T322">
        <f>HYPERLINK("https://klasma.github.io/Logging_0665/kartor/A 13954-2022 karta.png", "A 13954-2022")</f>
        <v/>
      </c>
      <c r="V322">
        <f>HYPERLINK("https://klasma.github.io/Logging_0665/klagomål/A 13954-2022 FSC-klagomål.docx", "A 13954-2022")</f>
        <v/>
      </c>
      <c r="W322">
        <f>HYPERLINK("https://klasma.github.io/Logging_0665/klagomålsmail/A 13954-2022 FSC-klagomål mail.docx", "A 13954-2022")</f>
        <v/>
      </c>
      <c r="X322">
        <f>HYPERLINK("https://klasma.github.io/Logging_0665/tillsyn/A 13954-2022 tillsynsbegäran.docx", "A 13954-2022")</f>
        <v/>
      </c>
      <c r="Y322">
        <f>HYPERLINK("https://klasma.github.io/Logging_0665/tillsynsmail/A 13954-2022 tillsynsbegäran mail.docx", "A 13954-2022")</f>
        <v/>
      </c>
    </row>
    <row r="323" ht="15" customHeight="1">
      <c r="A323" t="inlineStr">
        <is>
          <t>A 16312-2022</t>
        </is>
      </c>
      <c r="B323" s="1" t="n">
        <v>44670</v>
      </c>
      <c r="C323" s="1" t="n">
        <v>45799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16312-2022 artfynd.xlsx", "A 16312-2022")</f>
        <v/>
      </c>
      <c r="T323">
        <f>HYPERLINK("https://klasma.github.io/Logging_0680/kartor/A 16312-2022 karta.png", "A 16312-2022")</f>
        <v/>
      </c>
      <c r="V323">
        <f>HYPERLINK("https://klasma.github.io/Logging_0680/klagomål/A 16312-2022 FSC-klagomål.docx", "A 16312-2022")</f>
        <v/>
      </c>
      <c r="W323">
        <f>HYPERLINK("https://klasma.github.io/Logging_0680/klagomålsmail/A 16312-2022 FSC-klagomål mail.docx", "A 16312-2022")</f>
        <v/>
      </c>
      <c r="X323">
        <f>HYPERLINK("https://klasma.github.io/Logging_0680/tillsyn/A 16312-2022 tillsynsbegäran.docx", "A 16312-2022")</f>
        <v/>
      </c>
      <c r="Y323">
        <f>HYPERLINK("https://klasma.github.io/Logging_0680/tillsynsmail/A 16312-2022 tillsynsbegäran mail.docx", "A 16312-2022")</f>
        <v/>
      </c>
      <c r="Z323">
        <f>HYPERLINK("https://klasma.github.io/Logging_0680/fåglar/A 16312-2022 prioriterade fågelarter.docx", "A 16312-2022")</f>
        <v/>
      </c>
    </row>
    <row r="324" ht="15" customHeight="1">
      <c r="A324" t="inlineStr">
        <is>
          <t>A 16310-2022</t>
        </is>
      </c>
      <c r="B324" s="1" t="n">
        <v>44670</v>
      </c>
      <c r="C324" s="1" t="n">
        <v>45799</v>
      </c>
      <c r="D324" t="inlineStr">
        <is>
          <t>JÖNKÖPINGS LÄN</t>
        </is>
      </c>
      <c r="E324" t="inlineStr">
        <is>
          <t>JÖNKÖPING</t>
        </is>
      </c>
      <c r="G324" t="n">
        <v>4.8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Gröngöling</t>
        </is>
      </c>
      <c r="S324">
        <f>HYPERLINK("https://klasma.github.io/Logging_0680/artfynd/A 16310-2022 artfynd.xlsx", "A 16310-2022")</f>
        <v/>
      </c>
      <c r="T324">
        <f>HYPERLINK("https://klasma.github.io/Logging_0680/kartor/A 16310-2022 karta.png", "A 16310-2022")</f>
        <v/>
      </c>
      <c r="V324">
        <f>HYPERLINK("https://klasma.github.io/Logging_0680/klagomål/A 16310-2022 FSC-klagomål.docx", "A 16310-2022")</f>
        <v/>
      </c>
      <c r="W324">
        <f>HYPERLINK("https://klasma.github.io/Logging_0680/klagomålsmail/A 16310-2022 FSC-klagomål mail.docx", "A 16310-2022")</f>
        <v/>
      </c>
      <c r="X324">
        <f>HYPERLINK("https://klasma.github.io/Logging_0680/tillsyn/A 16310-2022 tillsynsbegäran.docx", "A 16310-2022")</f>
        <v/>
      </c>
      <c r="Y324">
        <f>HYPERLINK("https://klasma.github.io/Logging_0680/tillsynsmail/A 16310-2022 tillsynsbegäran mail.docx", "A 16310-2022")</f>
        <v/>
      </c>
      <c r="Z324">
        <f>HYPERLINK("https://klasma.github.io/Logging_0680/fåglar/A 16310-2022 prioriterade fågelarter.docx", "A 16310-2022")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45799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45799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45799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45799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45799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45799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45799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45799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45799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45799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45799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45799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45799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45799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45799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45799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45799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45799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45799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45799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45799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45799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45799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45799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45799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45799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45799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45799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45799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45799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45799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45799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45799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45799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45799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45799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45799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45799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45799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45799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45799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45799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45799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45799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45799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45799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45799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45799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45799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45799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45799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45799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45799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45799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45799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45799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45799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45799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45799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45799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45799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45799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45799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45799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45799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45799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45799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45799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45799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45799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45799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45799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45799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45799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45799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45799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45799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45799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45799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45799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45799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45799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45799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45799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45799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45799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45799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45799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45799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45799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45799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45799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45799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45799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45799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45799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45799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45799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45799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45799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45799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45799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45799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45799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45799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45799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45799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45799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45799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45799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45799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45799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45799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45799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45799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45799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45799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45799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45799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45799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45799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45799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45799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45799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45799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45799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45799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45799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45799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45799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45799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45799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45799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45799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45799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45799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45799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45799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45799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45799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45799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45799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45799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45799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45799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45799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45799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45799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45799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45799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45799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45799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45799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45799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45799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45799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45799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45799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45799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45799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45799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45799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45799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45799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45799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45799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45799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45799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45799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45799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45799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45799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45799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45799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45799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45799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45799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45799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45799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45799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45799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45799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45799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45799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45799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45799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45799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45799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45799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45799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45799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45799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45799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45799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45799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45799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45799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45799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45799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45799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45799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45799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45799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45799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45799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45799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45799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45799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45799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45799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45799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45799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45799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45799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45799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45799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45799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45799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45799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45799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45799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45799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45799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45799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45799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45799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45799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45799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45799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45799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45799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45799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45799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45799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45799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45799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45799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45799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45799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45799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45799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45799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45799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45799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45799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45799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45799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45799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45799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45799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45799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45799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45799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45799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45799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45799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45799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45799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45799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45799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45799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45799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45799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45799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45799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45799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45799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45799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45799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45799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45799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45799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45799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45799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45799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45799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45799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45799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45799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45799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45799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45799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45799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45799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45799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45799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45799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45799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45799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45799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45799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45799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45799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45799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45799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45799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45799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45799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45799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45799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45799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45799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45799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45799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45799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45799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45799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45799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45799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45799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45799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45799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45799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45799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45799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45799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45799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45799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45799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45799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45799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45799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45799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45799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45799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45799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45799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45799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45799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45799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45799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45799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45799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45799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45799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45799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45799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45799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45799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45799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45799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45799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45799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45799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45799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45799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45799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45799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45799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45799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45799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45799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45799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45799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45799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45799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45799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45799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45799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45799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45799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45799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45799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45799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45799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45799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45799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45799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45799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45799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45799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45799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45799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45799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45799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45799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45799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45799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45799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45799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45799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45799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45799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45799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45799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45799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45799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45799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45799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45799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45799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45799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45799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45799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45799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45799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45799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45799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45799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45799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45799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45799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45799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45799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45799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45799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45799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45799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45799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45799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45799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45799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45799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45799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45799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45799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45799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45799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45799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45799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45799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45799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45799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45799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45799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45799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45799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45799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45799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45799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45799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45799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45799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45799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45799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45799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45799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45799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45799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45799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45799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45799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45799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45799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45799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45799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45799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45799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45799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45799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45799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45799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45799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45799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45799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45799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45799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45799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45799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45799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45799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45799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45799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45799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45799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45799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45799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45799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45799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45799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45799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45799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45799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45799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45799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45799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45799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45799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45799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45799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45799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45799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45799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45799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45799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45799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45799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45799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45799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45799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45799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45799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45799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45799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45799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45799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45799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45799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45799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45799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45799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45799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45799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45799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45799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45799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45799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45799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45799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45799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45799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45799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45799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45799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45799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45799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45799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45799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45799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45799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45799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45799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45799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45799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45799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45799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45799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45799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45799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45799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45799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45799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45799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45799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45799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45799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45799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45799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45799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45799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45799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45799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45799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45799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45799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45799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45799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45799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45799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45799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45799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45799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45799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45799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45799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45799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45799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45799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45799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45799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45799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45799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45799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45799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45799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45799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45799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45799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45799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45799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45799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45799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45799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45799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45799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45799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45799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45799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45799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45799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45799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45799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45799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45799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45799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45799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45799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45799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45799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45799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45799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45799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45799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45799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45799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45799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45799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45799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45799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45799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45799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45799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45799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45799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45799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45799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45799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45799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45799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45799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45799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45799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45799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45799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45799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45799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45799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45799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45799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45799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45799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45799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45799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45799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45799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45799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45799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45799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45799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45799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45799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45799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45799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45799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45799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45799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45799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45799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45799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45799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45799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45799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45799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45799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45799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45799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45799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45799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45799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45799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45799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45799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45799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45799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45799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45799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45799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45799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45799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45799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45799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45799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45799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45799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45799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45799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45799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45799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45799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45799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45799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45799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45799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45799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45799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45799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45799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45799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45799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45799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45799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45799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45799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45799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45799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45799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45799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45799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45799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45799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45799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45799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45799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45799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45799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45799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45799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45799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45799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45799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45799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45799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45799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45799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45799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45799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45799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45799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45799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45799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45799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45799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45799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45799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45799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45799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45799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45799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45799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45799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45799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45799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45799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45799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45799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45799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45799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45799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45799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45799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45799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45799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45799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45799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45799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45799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45799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45799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45799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45799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45799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45799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45799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45799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45799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45799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45799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45799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45799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45799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45799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45799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45799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45799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45799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45799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45799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45799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45799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45799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45799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45799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45799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45799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45799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45799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45799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45799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45799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45799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45799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45799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45799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45799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45799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45799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45799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45799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45799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45799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45799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45799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45799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45799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45799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45799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45799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45799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45799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45799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45799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45799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45799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45799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45799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45799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45799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45799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45799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45799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45799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45799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45799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45799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45799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45799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45799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45799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45799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45799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45799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45799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45799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45799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45799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45799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45799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45799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45799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45799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45799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45799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45799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45799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45799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45799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45799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45799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45799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45799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45799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45799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45799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45799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45799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45799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45799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45799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45799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45799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45799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45799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45799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45799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45799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45799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45799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45799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45799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45799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45799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45799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45799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45799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45799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45799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45799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45799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45799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45799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45799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45799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45799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45799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45799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45799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45799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45799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45799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45799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45799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45799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45799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45799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45799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45799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45799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45799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45799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45799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45799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45799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45799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45799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45799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45799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45799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45799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45799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45799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45799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45799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45799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45799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45799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45799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45799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45799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45799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45799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45799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45799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45799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45799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45799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45799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45799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45799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45799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45799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45799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45799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45799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45799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45799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45799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45799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45799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45799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45799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45799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45799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45799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45799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45799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45799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45799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45799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45799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45799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45799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45799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45799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45799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45799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45799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45799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45799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45799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45799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45799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45799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45799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45799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45799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45799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45799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45799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45799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45799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45799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45799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45799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45799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45799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45799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45799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45799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45799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45799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45799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45799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45799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45799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45799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45799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45799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45799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45799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45799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45799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45799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45799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45799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45799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45799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45799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45799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45799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45799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45799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45799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45799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45799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45799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45799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45799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45799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45799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45799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45799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45799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45799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45799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45799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45799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45799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45799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45799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45799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45799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45799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45799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45799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45799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45799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45799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45799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45799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45799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45799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45799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45799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45799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45799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45799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45799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45799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45799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45799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45799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45799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45799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45799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45799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45799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45799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45799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45799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45799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45799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45799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45799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45799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45799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45799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45799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45799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45799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45799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45799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45799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45799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45799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45799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45799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45799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45799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45799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45799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45799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45799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45799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45799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45799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45799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45799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45799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45799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45799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45799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45799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45799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45799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45799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45799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45799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45799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45799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45799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45799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45799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45799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45799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45799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45799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45799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45799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45799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45799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45799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45799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45799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45799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45799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45799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45799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45799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45799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45799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45799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45799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45799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45799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45799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45799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45799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45799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45799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45799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45799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45799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45799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45799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45799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45799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45799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45799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45799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45799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45799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45799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45799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45799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45799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45799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45799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45799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45799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45799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45799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45799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45799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45799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45799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45799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45799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45799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45799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45799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45799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45799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45799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45799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45799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45799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45799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45799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45799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45799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45799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45799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45799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45799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45799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45799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45799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45799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45799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45799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45799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45799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45799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45799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45799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45799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45799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45799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45799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45799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45799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45799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45799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45799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45799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45799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45799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45799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45799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45799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45799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45799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45799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45799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45799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45799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45799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45799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45799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45799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45799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45799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45799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45799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45799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45799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45799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45799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45799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45799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45799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45799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45799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45799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45799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45799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45799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45799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45799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45799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45799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45799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45799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45799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45799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45799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45799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45799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45799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45799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45799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45799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45799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45799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45799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45799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45799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45799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45799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45799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45799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45799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45799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45799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45799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45799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45799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45799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45799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45799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45799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45799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45799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45799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45799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45799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45799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45799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45799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45799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45799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45799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45799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45799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45799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45799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45799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45799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45799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45799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45799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45799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45799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45799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45799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45799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45799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45799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45799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45799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45799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45799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45799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45799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45799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45799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45799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45799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45799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45799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45799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45799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45799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45799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45799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45799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45799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45799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45799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45799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45799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45799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45799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45799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45799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45799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45799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45799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45799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45799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45799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45799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45799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45799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45799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45799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45799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45799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45799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45799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45799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45799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45799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45799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45799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45799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45799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45799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45799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45799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45799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45799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45799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45799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45799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45799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45799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45799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45799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45799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45799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45799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45799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45799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45799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45799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45799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45799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45799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45799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45799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45799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45799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45799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45799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45799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45799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45799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45799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45799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45799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45799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45799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45799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45799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45799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45799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45799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45799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45799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45799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45799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45799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45799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45799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45799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45799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45799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45799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45799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45799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45799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45799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45799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45799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45799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45799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45799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45799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45799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45799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45799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45799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45799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45799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45799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45799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45799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45799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45799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45799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45799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45799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45799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45799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45799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45799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45799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45799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45799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45799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45799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45799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45799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45799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45799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45799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45799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45799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45799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45799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45799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45799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45799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45799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45799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45799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45799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45799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45799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45799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45799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45799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45799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45799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45799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45799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45799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45799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45799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45799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45799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45799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45799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45799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45799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45799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45799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45799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45799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45799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45799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45799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45799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45799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45799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45799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45799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45799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45799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45799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45799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45799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45799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45799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45799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45799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45799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45799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45799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45799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45799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45799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45799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45799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45799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45799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45799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45799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45799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45799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45799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45799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45799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45799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45799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45799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45799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45799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45799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45799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45799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45799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45799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45799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45799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45799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45799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45799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45799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45799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45799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45799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45799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45799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45799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45799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45799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45799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45799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45799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45799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45799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45799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45799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45799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45799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45799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45799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45799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45799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45799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45799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45799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45799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45799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45799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45799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45799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45799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45799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45799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45799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45799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45799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45799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45799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45799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45799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45799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45799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45799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45799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45799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45799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45799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45799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45799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45799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45799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45799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45799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45799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45799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45799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45799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45799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45799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45799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45799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45799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45799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45799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45799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45799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45799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45799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45799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45799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45799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45799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45799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45799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45799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45799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45799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45799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45799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45799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45799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45799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45799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45799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45799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45799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45799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45799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45799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45799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45799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45799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45799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45799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45799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45799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45799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45799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45799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45799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45799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45799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45799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45799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45799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45799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45799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45799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45799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45799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45799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45799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45799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45799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45799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45799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45799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45799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45799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45799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45799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45799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45799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45799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45799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45799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45799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45799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45799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45799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45799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45799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45799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45799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45799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45799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45799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45799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45799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45799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45799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45799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45799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45799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45799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45799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45799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45799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45799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45799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45799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45799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45799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45799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45799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45799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45799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45799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45799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45799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45799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45799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45799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45799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45799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45799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45799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45799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45799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45799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45799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45799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45799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45799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45799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45799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45799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45799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45799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45799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45799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45799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45799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45799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45799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45799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45799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45799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45799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45799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45799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45799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45799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45799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45799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45799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45799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45799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45799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45799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45799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45799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45799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45799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45799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45799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45799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45799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45799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45799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45799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45799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45799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45799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45799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45799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45799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45799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45799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45799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45799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45799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45799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45799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45799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45799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45799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45799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45799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45799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45799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45799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45799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45799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45799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45799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45799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45799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45799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45799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45799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45799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45799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45799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45799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45799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45799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45799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45799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45799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45799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45799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45799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45799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45799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45799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45799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45799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45799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45799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45799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45799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45799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45799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45799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45799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45799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45799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45799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45799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45799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45799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45799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45799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45799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45799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45799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45799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45799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45799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45799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45799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45799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45799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45799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45799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45799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45799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45799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45799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45799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45799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45799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45799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45799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45799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45799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45799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45799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45799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45799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45799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45799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45799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45799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45799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45799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45799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45799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45799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45799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45799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45799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45799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45799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45799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45799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45799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45799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45799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45799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45799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45799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45799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45799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45799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45799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45799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45799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45799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45799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45799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45799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45799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45799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45799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45799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45799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45799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45799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45799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45799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45799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45799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45799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45799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45799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45799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45799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45799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45799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45799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45799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45799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45799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45799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45799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45799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45799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45799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45799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45799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45799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45799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45799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45799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45799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45799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45799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45799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45799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45799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45799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45799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45799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45799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45799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45799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45799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45799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45799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45799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45799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45799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45799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45799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45799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45799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45799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45799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45799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45799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45799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45799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45799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45799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45799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45799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45799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45799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45799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45799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45799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45799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45799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45799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45799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45799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45799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45799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45799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45799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45799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45799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45799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45799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45799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45799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45799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45799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45799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45799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45799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45799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45799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45799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45799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45799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45799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45799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45799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45799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45799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45799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45799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45799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45799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45799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45799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45799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45799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45799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45799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45799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45799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45799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45799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45799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45799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45799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45799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45799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45799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45799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45799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45799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45799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45799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45799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45799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45799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45799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45799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45799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45799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45799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45799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45799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45799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45799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45799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45799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45799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45799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45799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45799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45799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45799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45799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45799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45799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45799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45799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45799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45799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45799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45799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45799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45799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45799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45799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45799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45799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45799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45799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45799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45799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45799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45799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45799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45799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45799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45799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45799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45799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45799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45799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45799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45799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45799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45799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45799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45799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45799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45799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45799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45799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45799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45799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45799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45799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45799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45799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45799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45799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45799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45799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45799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45799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45799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45799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45799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45799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45799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45799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45799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45799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45799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45799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45799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45799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45799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45799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45799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45799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45799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45799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45799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45799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45799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45799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45799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45799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45799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45799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45799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45799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45799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45799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45799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45799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45799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45799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45799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45799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45799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45799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45799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45799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45799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45799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45799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45799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45799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45799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45799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45799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45799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45799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45799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45799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45799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45799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45799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45799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45799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45799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45799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45799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45799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45799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45799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45799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45799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45799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45799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45799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45799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45799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45799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45799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45799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45799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45799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45799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45799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45799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45799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45799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45799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45799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45799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45799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45799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45799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45799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45799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45799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45799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45799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45799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45799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45799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45799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45799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45799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45799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45799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45799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45799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45799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45799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45799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45799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45799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45799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45799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45799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45799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45799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45799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45799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45799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45799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45799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45799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45799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45799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45799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45799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45799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45799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45799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45799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45799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45799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45799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45799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45799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45799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45799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45799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45799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45799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45799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45799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45799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45799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45799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45799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45799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45799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45799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45799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45799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45799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45799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45799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45799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45799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45799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45799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45799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45799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45799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45799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45799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45799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45799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45799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45799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45799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45799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45799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45799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45799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45799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45799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45799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45799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45799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45799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45799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45799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45799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45799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45799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45799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45799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45799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45799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45799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45799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45799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45799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45799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45799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45799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45799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45799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45799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45799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45799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45799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45799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45799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45799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45799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45799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45799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45799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45799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45799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45799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45799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45799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45799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45799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45799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45799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45799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45799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45799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45799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45799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45799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45799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45799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45799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45799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45799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45799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45799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45799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45799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45799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45799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45799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45799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45799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45799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45799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45799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45799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45799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45799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45799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45799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45799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45799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45799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45799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45799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45799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45799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45799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45799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45799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45799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45799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45799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45799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45799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45799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45799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45799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45799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45799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45799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45799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45799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45799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45799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45799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45799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45799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45799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45799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45799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45799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45799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45799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45799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45799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45799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45799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45799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45799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45799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45799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45799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45799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45799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45799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45799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45799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45799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45799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45799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45799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45799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45799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45799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45799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45799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45799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45799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45799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45799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45799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45799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45799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45799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45799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45799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45799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45799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45799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45799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45799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45799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45799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45799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45799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45799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45799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45799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45799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45799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45799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45799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45799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45799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45799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45799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45799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45799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45799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45799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45799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45799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45799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45799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45799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45799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45799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45799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45799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45799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45799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45799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45799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45799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45799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45799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45799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45799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45799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45799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45799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45799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45799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45799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45799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45799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45799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45799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45799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45799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45799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45799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45799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45799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45799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45799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45799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45799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45799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45799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45799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45799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45799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45799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45799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45799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45799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45799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45799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45799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45799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45799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45799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45799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45799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45799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45799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45799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45799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45799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45799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45799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45799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45799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45799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45799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45799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45799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45799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45799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45799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45799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45799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45799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45799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45799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45799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45799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45799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45799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45799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45799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45799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45799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45799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45799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45799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45799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45799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45799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45799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45799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45799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45799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45799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45799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45799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45799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45799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45799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45799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45799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45799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45799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45799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45799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45799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45799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45799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45799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45799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45799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45799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45799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45799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45799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45799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45799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45799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45799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45799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45799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45799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45799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45799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45799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45799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45799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45799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45799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45799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45799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45799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45799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45799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45799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45799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45799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45799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45799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45799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45799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45799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45799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45799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45799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45799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45799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45799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45799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45799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45799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45799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45799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45799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45799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45799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45799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45799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45799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45799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45799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45799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45799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45799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45799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45799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45799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45799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45799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45799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45799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45799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45799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45799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45799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45799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45799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45799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45799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45799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45799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45799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45799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45799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45799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45799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45799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45799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45799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45799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45799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45799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45799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45799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45799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45799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45799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45799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45799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45799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45799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45799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45799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45799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45799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45799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45799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45799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45799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45799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45799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45799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45799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45799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45799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45799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45799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45799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45799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45799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45799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45799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45799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45799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45799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45799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45799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45799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45799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45799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45799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45799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45799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45799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45799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45799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45799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45799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45799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45799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45799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45799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45799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45799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45799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45799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45799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45799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45799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45799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45799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45799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45799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45799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45799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45799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45799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45799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45799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45799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45799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45799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45799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45799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45799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45799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45799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45799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45799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45799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45799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45799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45799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45799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45799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45799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45799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45799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45799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45799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45799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45799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45799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45799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45799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45799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45799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45799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45799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45799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45799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45799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45799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45799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45799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45799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45799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45799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45799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45799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45799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45799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45799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45799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45799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45799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45799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45799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45799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45799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45799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45799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45799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45799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45799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45799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45799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45799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45799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45799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45799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45799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45799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45799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45799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45799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45799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45799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45799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45799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45799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45799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45799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45799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45799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45799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45799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45799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45799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45799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45799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45799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45799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45799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45799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45799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45799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45799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45799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45799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45799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45799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45799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45799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45799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45799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45799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45799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45799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45799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45799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45799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45799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45799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45799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45799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45799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45799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45799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45799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45799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45799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45799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45799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45799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45799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45799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45799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45799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45799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45799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45799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45799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45799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45799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45799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45799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45799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45799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45799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45799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45799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45799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45799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45799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45799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45799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45799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45799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45799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45799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45799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45799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45799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45799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45799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45799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45799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45799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45799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45799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45799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45799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45799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45799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45799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45799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45799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45799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45799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45799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45799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45799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45799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45799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45799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45799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45799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45799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45799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45799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45799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45799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45799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45799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45799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45799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45799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45799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45799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45799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45799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45799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45799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45799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45799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45799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45799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45799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45799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45799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45799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45799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45799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45799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45799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45799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45799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45799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45799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45799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45799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45799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45799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45799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45799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45799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45799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45799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45799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45799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45799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45799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45799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45799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45799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45799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45799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45799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45799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45799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45799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45799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45799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45799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45799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45799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45799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45799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45799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45799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45799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45799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45799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45799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45799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45799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45799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45799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45799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45799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45799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45799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45799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45799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45799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45799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45799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45799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45799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45799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45799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45799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45799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45799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45799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45799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45799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45799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45799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45799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45799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45799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45799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45799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45799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45799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45799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45799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45799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45799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45799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45799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45799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45799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45799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45799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45799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45799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45799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45799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45799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45799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45799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45799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45799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45799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45799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45799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45799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45799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45799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45799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45799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45799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45799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45799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45799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45799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45799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45799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45799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45799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45799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45799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45799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45799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45799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45799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45799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45799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45799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45799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45799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45799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45799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45799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45799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45799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45799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45799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45799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45799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45799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45799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45799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45799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45799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45799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45799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45799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45799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45799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45799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45799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45799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45799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45799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45799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45799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45799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45799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45799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45799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45799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45799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45799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45799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45799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45799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45799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45799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45799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45799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45799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45799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45799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45799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45799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45799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45799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45799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45799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45799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45799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45799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45799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45799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45799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45799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45799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45799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45799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45799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45799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45799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45799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45799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45799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45799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45799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45799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45799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45799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45799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45799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45799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45799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45799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45799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45799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45799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45799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45799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45799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45799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45799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45799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45799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45799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45799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45799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45799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45799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45799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45799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45799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45799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45799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45799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45799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45799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45799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45799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45799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45799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45799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45799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45799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45799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45799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45799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45799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45799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45799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45799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45799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45799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45799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45799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45799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45799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45799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45799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45799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45799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45799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45799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45799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45799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45799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45799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45799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45799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45799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45799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45799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45799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45799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45799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45799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45799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45799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45799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45799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45799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45799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45799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45799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45799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45799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45799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45799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45799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45799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45799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45799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45799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45799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45799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45799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45799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45799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45799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45799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45799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45799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45799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45799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45799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45799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45799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45799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45799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45799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45799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45799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45799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45799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45799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45799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45799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45799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45799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45799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45799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45799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45799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45799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45799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45799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45799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45799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45799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45799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45799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45799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45799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45799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45799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45799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45799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45799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45799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45799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45799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45799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45799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45799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45799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45799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45799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45799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45799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45799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45799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45799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45799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45799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45799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45799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45799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45799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45799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45799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45799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45799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45799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45799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45799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45799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45799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45799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45799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45799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45799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45799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45799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45799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45799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45799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45799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45799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45799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45799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45799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45799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45799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45799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45799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45799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45799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45799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45799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45799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45799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45799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45799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45799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45799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45799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45799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45799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45799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45799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45799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45799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45799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45799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45799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45799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45799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45799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45799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45799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45799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45799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45799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45799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45799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45799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45799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45799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45799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45799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45799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45799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45799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45799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45799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45799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45799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45799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45799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45799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45799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45799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45799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45799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45799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45799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45799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45799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45799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45799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45799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45799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45799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45799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45799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45799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45799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45799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45799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45799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45799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45799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45799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45799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45799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45799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45799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45799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45799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45799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45799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45799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45799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45799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45799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45799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45799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45799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45799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45799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45799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45799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45799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45799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45799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45799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45799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45799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45799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45799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45799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45799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45799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45799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45799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45799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45799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45799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45799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45799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45799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45799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45799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45799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45799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45799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45799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45799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45799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45799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45799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45799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45799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45799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45799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45799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45799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45799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45799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45799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45799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45799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45799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45799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45799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45799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45799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45799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45799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45799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45799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45799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45799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45799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45799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45799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45799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45799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45799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45799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45799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45799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45799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45799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45799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45799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45799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45799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45799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45799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45799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45799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45799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45799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45799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45799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45799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45799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45799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45799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45799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45799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45799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45799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45799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45799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45799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45799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45799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45799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45799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45799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45799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45799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45799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45799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45799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45799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45799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45799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45799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45799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45799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45799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45799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45799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45799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45799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45799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45799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45799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45799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45799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45799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45799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45799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45799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45799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45799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45799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45799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45799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45799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45799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45799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45799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45799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45799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45799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45799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45799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45799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45799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45799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45799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45799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45799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45799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45799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45799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45799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45799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45799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45799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45799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45799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45799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45799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45799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45799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45799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45799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45799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45799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45799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45799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45799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45799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45799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45799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45799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45799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45799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45799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45799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45799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45799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45799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45799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45799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45799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45799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45799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45799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45799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45799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45799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45799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45799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45799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45799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45799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45799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45799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45799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45799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45799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45799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45799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45799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45799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45799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45799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45799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45799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45799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45799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45799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45799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45799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45799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45799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45799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45799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45799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45799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45799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45799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45799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45799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45799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45799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45799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45799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45799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45799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45799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45799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45799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45799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45799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45799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45799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45799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45799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45799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45799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45799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45799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45799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45799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45799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45799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45799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45799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45799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45799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45799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45799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45799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45799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45799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45799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45799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45799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45799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45799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45799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45799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45799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45799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45799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45799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45799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45799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45799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45799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45799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45799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45799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45799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45799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45799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45799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45799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45799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45799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45799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45799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45799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45799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45799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45799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45799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45799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45799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45799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45799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45799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45799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45799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45799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45799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45799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45799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45799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45799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45799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45799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45799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45799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45799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45799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45799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45799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45799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45799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45799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45799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45799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45799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45799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45799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45799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45799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45799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45799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45799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45799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45799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45799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45799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45799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45799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45799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45799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45799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45799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45799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45799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45799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45799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45799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45799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45799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45799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45799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45799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45799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45799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45799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45799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45799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45799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45799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45799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45799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45799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45799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45799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45799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45799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45799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45799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45799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45799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45799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45799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45799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45799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45799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45799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45799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45799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45799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45799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45799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45799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45799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45799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45799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45799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45799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45799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45799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45799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45799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45799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45799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45799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45799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45799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45799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45799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45799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45799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45799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45799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45799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45799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45799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45799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45799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45799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45799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45799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45799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45799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45799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45799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45799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45799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45799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45799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45799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45799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45799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45799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45799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45799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45799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45799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45799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45799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45799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45799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45799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45799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45799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45799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45799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45799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45799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45799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45799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45799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45799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45799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45799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45799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45799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45799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45799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45799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45799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45799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45799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45799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45799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45799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45799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45799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45799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45799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45799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45799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45799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45799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45799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45799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45799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45799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45799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45799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45799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45799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45799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45799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45799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45799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45799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45799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45799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45799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45799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45799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45799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45799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45799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45799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45799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45799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45799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45799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45799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45799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45799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45799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45799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45799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45799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45799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45799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45799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45799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45799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45799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45799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45799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45799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45799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45799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45799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45799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45799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45799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45799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45799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45799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45799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45799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45799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45799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45799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45799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45799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45799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45799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45799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45799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45799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45799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45799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45799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45799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45799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45799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45799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45799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45799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45799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45799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45799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45799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45799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45799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45799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45799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45799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45799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45799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45799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45799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45799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45799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45799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45799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45799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45799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45799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45799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45799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45799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45799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45799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45799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45799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45799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45799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45799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45799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45799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45799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45799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45799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45799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45799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45799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45799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45799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45799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45799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45799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45799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45799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45799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45799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45799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45799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45799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45799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45799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45799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45799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45799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45799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45799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45799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45799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45799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45799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45799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45799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45799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45799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45799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45799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45799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45799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45799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45799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45799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45799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45799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45799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45799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45799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45799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45799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45799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45799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45799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45799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45799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45799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45799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45799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45799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45799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45799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45799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45799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45799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45799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45799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45799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45799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45799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45799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45799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45799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45799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45799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45799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45799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45799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45799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45799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45799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45799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45799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45799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45799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45799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45799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45799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45799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45799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45799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45799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45799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45799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45799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45799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45799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45799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45799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45799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45799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45799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45799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45799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45799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45799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45799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45799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45799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45799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45799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45799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45799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45799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45799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45799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45799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45799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45799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45799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45799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45799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45799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45799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45799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45799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45799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45799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45799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45799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45799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45799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45799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45799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45799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45799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45799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45799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45799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45799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45799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45799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45799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45799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45799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45799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45799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45799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45799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45799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45799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45799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45799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45799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45799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45799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45799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45799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45799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45799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45799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45799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45799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45799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45799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45799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45799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45799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45799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45799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45799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45799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45799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45799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45799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45799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45799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45799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45799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45799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45799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45799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45799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45799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45799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45799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45799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45799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45799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45799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45799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45799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45799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45799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45799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45799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45799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45799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45799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45799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45799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45799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45799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45799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45799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45799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45799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45799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45799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45799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45799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45799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45799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45799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45799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45799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45799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45799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45799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45799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45799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45799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45799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45799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45799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45799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45799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45799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45799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45799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45799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45799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45799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45799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45799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45799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45799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45799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45799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45799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45799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45799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45799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45799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45799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45799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45799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45799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45799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45799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45799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45799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45799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45799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45799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45799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45799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45799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45799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45799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45799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45799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45799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45799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45799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45799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45799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45799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45799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45799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45799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45799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45799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45799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45799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45799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45799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45799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45799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45799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45799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45799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45799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45799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45799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45799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45799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45799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45799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45799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45799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45799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45799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45799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45799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45799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45799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45799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45799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45799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45799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45799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45799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45799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45799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45799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45799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45799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45799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45799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45799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45799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45799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45799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45799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45799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45799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45799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45799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45799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45799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45799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45799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45799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45799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45799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45799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45799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45799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45799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45799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45799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45799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45799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45799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45799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45799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45799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45799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45799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45799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45799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45799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45799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45799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45799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45799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45799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45799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45799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45799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45799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45799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45799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45799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45799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45799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45799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45799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45799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45799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45799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45799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45799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45799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45799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45799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45799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45799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45799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45799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45799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45799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45799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45799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45799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45799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45799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45799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45799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45799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45799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45799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45799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45799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45799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45799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45799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45799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45799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45799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45799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45799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45799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45799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45799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45799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45799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45799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45799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45799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45799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45799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45799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45799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45799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45799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45799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45799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45799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45799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45799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45799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45799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45799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45799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45799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45799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45799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45799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45799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45799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45799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45799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45799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45799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45799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45799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45799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45799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45799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45799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45799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45799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45799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45799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45799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45799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45799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45799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45799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45799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45799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45799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45799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45799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45799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45799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45799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45799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45799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45799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45799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45799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45799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45799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45799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45799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45799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45799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45799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45799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45799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45799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45799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45799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45799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45799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45799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45799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45799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45799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45799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45799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45799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45799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45799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45799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45799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45799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45799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45799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45799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45799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45799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45799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45799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45799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45799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45799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45799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45799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45799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45799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45799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45799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45799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45799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45799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45799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45799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45799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45799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45799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45799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45799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45799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45799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45799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45799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45799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45799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45799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45799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45799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45799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45799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45799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45799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45799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45799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45799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45799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45799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45799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45799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45799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45799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45799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45799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45799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45799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45799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45799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45799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45799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45799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45799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45799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45799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45799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45799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45799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45799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45799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45799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45799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45799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45799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45799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45799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45799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45799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45799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45799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45799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45799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45799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45799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45799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45799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45799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45799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45799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45799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45799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45799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45799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45799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45799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45799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45799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45799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45799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45799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45799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45799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45799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45799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45799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45799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45799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45799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45799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45799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45799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45799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45799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45799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45799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45799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45799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45799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45799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45799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45799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45799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45799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45799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45799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45799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45799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45799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45799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45799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45799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45799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45799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45799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45799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45799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45799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45799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45799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45799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45799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45799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45799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45799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45799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45799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45799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45799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45799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45799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45799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45799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45799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45799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45799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45799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45799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45799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45799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45799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45799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45799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45799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45799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45799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45799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45799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45799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45799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45799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45799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45799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45799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45799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45799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45799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45799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45799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45799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45799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45799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45799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45799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45799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45799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45799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45799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45799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45799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45799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45799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45799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45799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45799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45799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45799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45799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45799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45799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45799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45799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45799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45799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45799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45799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45799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45799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45799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45799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45799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45799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45799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45799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45799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45799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45799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45799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45799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45799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45799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45799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45799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45799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45799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45799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45799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45799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45799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45799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45799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45799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45799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45799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45799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45799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45799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45799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45799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45799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45799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45799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45799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45799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45799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45799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45799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45799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45799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45799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45799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45799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45799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45799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45799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45799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45799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45799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45799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45799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45799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45799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45799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45799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45799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45799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45799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45799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45799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45799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45799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45799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45799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45799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45799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45799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45799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45799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45799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45799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45799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45799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45799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45799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45799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45799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45799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45799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45799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45799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45799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45799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45799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45799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45799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45799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45799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45799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45799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45799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45799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45799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45799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45799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45799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45799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45799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45799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45799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45799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45799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45799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45799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45799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45799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45799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45799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45799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45799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45799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45799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45799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45799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45799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45799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45799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45799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45799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45799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45799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45799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45799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45799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45799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45799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45799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45799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45799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45799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45799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45799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45799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45799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45799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45799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45799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45799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45799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45799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45799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45799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45799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45799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45799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45799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45799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45799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45799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45799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45799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45799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45799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45799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45799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45799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45799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45799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45799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45799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45799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45799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45799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45799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45799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45799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45799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45799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45799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45799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45799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45799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45799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45799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45799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45799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45799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45799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45799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45799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45799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45799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45799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45799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45799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45799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45799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45799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45799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45799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45799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45799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45799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45799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45799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45799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45799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45799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45799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45799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45799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45799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45799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45799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45799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45799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45799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45799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45799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45799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45799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45799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45799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45799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45799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45799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45799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45799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45799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45799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45799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45799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45799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45799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45799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45799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45799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45799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45799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45799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45799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45799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45799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45799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45799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45799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45799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45799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45799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45799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45799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45799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45799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45799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45799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45799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45799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45799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45799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45799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45799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45799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45799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45799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45799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45799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45799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45799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45799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45799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45799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45799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45799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45799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45799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45799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45799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45799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45799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45799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45799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45799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45799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45799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45799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45799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45799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45799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45799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45799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45799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45799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45799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45799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45799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45799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45799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45799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45799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45799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45799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45799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45799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45799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45799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45799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45799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45799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45799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45799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45799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45799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45799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45799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45799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45799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45799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45799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45799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45799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45799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45799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45799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45799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45799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45799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45799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45799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45799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45799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45799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45799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45799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45799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45799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45799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45799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45799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45799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45799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45799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45799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45799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45799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45799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45799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45799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45799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45799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45799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45799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45799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45799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45799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45799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45799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45799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45799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45799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45799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45799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45799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45799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45799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45799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45799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45799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45799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45799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45799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45799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45799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45799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45799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45799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45799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45799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45799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45799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45799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45799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45799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45799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45799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45799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45799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45799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45799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45799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45799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45799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45799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45799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45799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45799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45799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45799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45799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45799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45799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45799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45799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45799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45799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45799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45799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45799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45799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45799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45799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45799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45799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45799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45799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45799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45799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45799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45799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45799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45799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45799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45799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45799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45799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45799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45799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45799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45799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45799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45799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45799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45799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45799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45799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45799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45799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45799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45799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45799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45799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45799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45799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45799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45799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45799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45799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45799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45799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45799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45799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45799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45799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45799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45799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45799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45799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45799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45799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45799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45799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45799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45799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45799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45799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45799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45799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45799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45799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45799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45799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45799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45799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45799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45799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45799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45799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45799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45799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45799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45799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45799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45799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45799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45799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45799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45799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45799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45799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45799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45799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45799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45799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45799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45799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45799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45799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45799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45799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45799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45799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45799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45799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45799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45799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45799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45799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45799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45799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45799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45799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45799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45799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45799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45799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45799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45799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45799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45799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45799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45799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45799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45799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45799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45799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45799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45799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45799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45799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45799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45799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45799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45799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45799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45799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45799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45799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45799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45799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45799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45799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45799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45799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45799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45799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45799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45799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45799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45799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45799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45799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45799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45799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45799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45799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45799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45799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45799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45799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45799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45799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45799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45799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45799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45799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45799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45799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45799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45799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45799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45799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45799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45799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45799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45799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45799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45799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45799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45799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45799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45799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45799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45799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45799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45799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45799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45799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45799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45799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45799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45799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45799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45799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45799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45799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45799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45799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45799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45799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45799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45799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45799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45799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45799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45799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45799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45799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45799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45799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45799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45799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45799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45799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45799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45799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45799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45799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45799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45799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45799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45799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45799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45799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45799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45799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45799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45799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45799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45799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45799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45799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45799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45799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45799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45799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45799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45799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45799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45799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45799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45799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45799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45799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45799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45799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45799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45799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45799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45799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45799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45799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45799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45799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45799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45799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45799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45799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45799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45799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45799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45799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45799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45799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45799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45799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45799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45799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45799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45799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45799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45799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45799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45799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45799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45799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45799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45799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45799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45799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45799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45799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45799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45799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45799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45799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45799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45799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45799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45799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45799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45799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45799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45799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45799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45799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45799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45799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45799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45799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45799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45799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45799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45799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45799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45799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45799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45799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45799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45799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45799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45799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45799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45799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45799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45799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45799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45799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45799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45799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45799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45799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45799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45799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45799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45799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45799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45799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45799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45799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45799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45799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45799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45799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45799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45799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45799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45799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45799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45799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45799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45799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45799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45799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45799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45799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45799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45799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45799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45799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45799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45799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45799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45799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45799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45799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45799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45799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45799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45799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45799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45799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45799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45799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45799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45799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45799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45799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45799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45799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45799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45799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45799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45799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45799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45799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45799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45799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45799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45799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45799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45799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45799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45799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45799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45799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45799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45799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45799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45799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45799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45799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45799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45799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45799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45799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45799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45799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45799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45799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45799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45799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45799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45799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45799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45799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45799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45799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45799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45799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45799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45799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45799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45799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45799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45799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45799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45799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45799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45799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45799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45799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45799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45799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45799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45799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45799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45799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45799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45799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45799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45799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45799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45799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45799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45799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45799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45799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45799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45799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45799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45799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45799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45799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45799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45799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45799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45799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45799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45799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45799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45799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45799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45799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45799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45799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45799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45799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45799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45799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45799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45799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45799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45799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45799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45799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45799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45799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45799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45799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45799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45799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45799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45799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45799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45799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45799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45799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45799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45799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45799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45799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45799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45799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45799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45799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45799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45799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45799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45799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45799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45799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45799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45799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45799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45799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45799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45799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45799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45799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45799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45799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45799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45799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45799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45799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45799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45799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45799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45799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45799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45799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45799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45799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45799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45799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45799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45799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45799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45799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45799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45799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45799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45799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45799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45799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45799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45799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45799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45799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45799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45799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45799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45799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45799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45799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45799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45799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45799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45799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45799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45799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45799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45799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45799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45799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45799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45799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45799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45799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45799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45799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45799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45799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45799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45799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45799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45799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45799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45799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45799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45799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45799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45799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45799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45799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45799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45799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45799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45799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45799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45799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45799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45799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45799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45799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45799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45799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45799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45799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45799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45799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45799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45799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45799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45799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45799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45799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45799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45799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45799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45799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45799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45799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45799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45799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45799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45799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45799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45799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45799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45799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45799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45799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45799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45799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45799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45799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45799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45799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45799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45799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45799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45799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45799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45799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45799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45799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45799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45799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45799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45799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45799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45799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45799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45799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45799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45799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45799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45799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45799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45799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45799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45799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45799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45799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45799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45799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45799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45799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45799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45799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45799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45799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45799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45799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45799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45799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45799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45799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45799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45799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45799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45799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45799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45799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45799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45799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45799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45799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45799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45799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45799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45799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45799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45799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45799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45799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45799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45799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45799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45799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45799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45799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45799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45799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45799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45799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45799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45799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45799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45799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45799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45799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45799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45799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45799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45799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45799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45799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45799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45799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45799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45799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45799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45799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45799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45799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45799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45799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45799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45799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45799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45799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45799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45799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45799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45799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45799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45799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45799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45799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45799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45799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45799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45799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45799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45799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45799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45799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45799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45799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45799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45799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45799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45799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45799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45799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45799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45799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45799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45799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45799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45799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45799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45799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45799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45799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45799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45799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45799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45799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45799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45799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45799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45799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45799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45799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45799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45799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45799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45799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45799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45799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45799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45799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45799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45799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45799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45799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45799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45799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45799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45799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45799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45799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45799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45799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45799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45799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45799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45799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45799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45799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45799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45799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45799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45799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45799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45799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45799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45799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45799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45799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45799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45799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45799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45799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45799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45799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45799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45799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45799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45799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45799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45799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45799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45799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45799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45799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45799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45799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45799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45799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45799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45799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45799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45799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45799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45799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45799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45799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45799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45799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45799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45799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45799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45799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45799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45799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45799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45799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45799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45799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45799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45799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45799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45799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45799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45799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45799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45799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45799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45799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45799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45799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45799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45799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45799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45799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45799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45799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45799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45799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45799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45799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45799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45799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45799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45799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45799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45799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45799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45799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45799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45799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45799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45799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45799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45799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45799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45799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45799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45799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45799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45799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45799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45799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45799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45799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45799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45799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45799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45799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45799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45799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45799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45799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45799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45799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45799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45799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45799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45799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45799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45799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45799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45799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45799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45799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45799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45799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45799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45799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45799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45799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45799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45799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45799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45799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45799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45799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45799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45799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45799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45799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45799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45799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45799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45799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45799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45799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45799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45799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45799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45799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45799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45799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45799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45799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45799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45799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45799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45799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45799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45799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45799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45799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45799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45799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45799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45799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45799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45799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45799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45799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45799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45799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45799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45799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45799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45799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45799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45799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45799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45799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45799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45799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45799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45799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45799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45799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45799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45799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45799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45799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45799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45799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45799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45799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45799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45799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45799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45799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45799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45799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45799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45799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45799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45799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45799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45799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45799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45799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45799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45799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45799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45799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45799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45799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45799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45799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45799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45799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45799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45799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45799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45799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45799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45799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45799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45799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45799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45799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45799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45799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45799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45799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45799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45799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45799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45799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45799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45799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45799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45799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45799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45799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45799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45799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45799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45799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45799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45799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45799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45799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45799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45799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45799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45799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45799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45799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45799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45799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45799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45799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45799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45799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45799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45799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45799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45799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45799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45799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45799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45799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45799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45799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45799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45799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45799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45799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45799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45799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45799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45799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45799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45799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45799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45799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45799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45799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45799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45799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45799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45799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45799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45799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45799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45799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45799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45799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45799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45799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45799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45799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45799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45799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45799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45799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45799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45799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45799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45799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45799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45799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45799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45799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45799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45799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45799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45799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45799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45799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45799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45799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45799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45799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45799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45799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45799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45799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45799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45799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45799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45799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45799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45799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45799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45799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45799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45799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45799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45799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45799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45799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45799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45799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45799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45799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45799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45799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45799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45799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45799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45799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45799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45799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45799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45799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45799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45799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45799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45799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45799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45799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45799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45799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45799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45799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45799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45799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45799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45799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45799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45799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45799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45799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45799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45799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45799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45799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45799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45799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45799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45799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45799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45799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45799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45799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45799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45799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45799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45799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45799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45799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45799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45799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45799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45799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45799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45799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45799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45799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45799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45799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45799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45799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45799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45799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45799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45799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45799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45799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45799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45799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45799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45799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45799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45799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45799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45799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45799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45799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45799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45799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45799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45799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45799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45799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45799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45799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45799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45799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45799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45799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45799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45799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45799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45799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45799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45799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45799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45799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45799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45799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45799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45799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45799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45799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45799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45799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45799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45799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45799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45799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45799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45799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45799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45799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45799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45799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45799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45799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45799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45799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45799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45799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45799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45799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45799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45799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45799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45799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45799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45799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45799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45799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45799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45799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45799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45799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45799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45799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45799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45799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45799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45799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45799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45799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45799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45799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45799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45799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45799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45799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45799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45799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45799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45799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45799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45799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45799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45799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45799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45799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45799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45799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45799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45799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45799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45799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45799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45799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45799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45799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45799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45799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45799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45799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45799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45799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45799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45799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45799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45799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45799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45799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45799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45799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45799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45799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45799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45799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45799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45799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45799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45799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45799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45799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45799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45799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45799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45799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45799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45799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45799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45799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45799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45799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45799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45799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45799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45799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45799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45799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45799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45799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45799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45799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45799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45799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45799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45799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45799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45799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45799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45799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45799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45799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45799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45799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45799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45799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45799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45799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45799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45799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45799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45799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45799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45799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45799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45799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45799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45799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45799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45799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45799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45799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45799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45799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45799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45799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45799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45799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45799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45799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45799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45799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45799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45799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45799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45799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45799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45799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45799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45799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45799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45799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45799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45799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45799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45799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45799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45799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45799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45799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45799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45799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45799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45799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45799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45799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45799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45799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45799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45799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45799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45799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45799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45799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45799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45799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45799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45799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45799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45799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45799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45799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45799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45799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45799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45799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45799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45799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45799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45799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45799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45799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45799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45799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45799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45799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45799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45799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45799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45799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45799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45799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45799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45799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45799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45799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45799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45799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45799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45799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45799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45799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45799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45799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45799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45799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45799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45799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45799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45799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45799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45799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45799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45799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45799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45799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45799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45799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45799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45799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45799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45799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45799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45799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45799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45799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45799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45799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45799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45799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45799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45799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45799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45799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45799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45799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45799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45799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45799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45799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45799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45799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45799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45799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45799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45799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45799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45799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45799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45799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45799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45799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45799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45799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45799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45799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45799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45799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45799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45799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45799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45799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45799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45799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45799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45799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45799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45799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45799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45799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45799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45799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45799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45799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45799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45799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45799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45799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45799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45799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45799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45799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45799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45799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45799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45799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45799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45799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45799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45799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45799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45799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45799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45799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45799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45799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45799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45799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45799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45799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45799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45799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45799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45799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45799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45799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45799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45799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45799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45799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45799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45799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45799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45799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45799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45799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45799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45799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45799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45799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45799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45799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45799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45799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45799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45799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45799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45799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45799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45799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45799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45799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45799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45799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45799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45799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45799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45799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45799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45799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45799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45799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45799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45799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45799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45799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45799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45799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45799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45799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45799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45799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45799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45799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45799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45799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45799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45799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45799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45799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45799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45799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45799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45799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45799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45799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45799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45799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45799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45799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45799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45799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45799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45799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45799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45799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45799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45799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45799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45799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45799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45799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45799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45799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45799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45799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45799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45799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45799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45799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45799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45799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45799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45799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45799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45799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45799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45799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45799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45799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45799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45799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45799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45799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45799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45799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45799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45799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45799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45799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45799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45799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45799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45799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45799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45799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45799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45799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45799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45799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45799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45799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45799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45799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45799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45799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45799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45799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45799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45799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45799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45799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45799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45799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45799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45799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45799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45799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45799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45799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45799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45799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45799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45799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45799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45799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45799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45799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45799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45799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45799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45799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45799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45799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45799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45799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45799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45799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45799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45799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45799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45799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45799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45799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45799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45799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45799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45799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45799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45799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45799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45799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45799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45799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45799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45799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45799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45799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45799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45799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45799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45799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45799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45799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45799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45799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45799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45799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45799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45799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45799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45799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45799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45799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45799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45799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45799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45799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45799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45799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45799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45799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45799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45799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45799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45799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45799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45799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45799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45799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45799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45799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45799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45799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45799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45799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45799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45799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45799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45799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45799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45799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45799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45799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45799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45799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45799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45799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45799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45799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45799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45799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45799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45799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45799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45799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45799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45799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45799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45799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45799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45799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45799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45799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45799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45799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45799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45799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45799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45799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45799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45799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45799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45799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45799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45799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45799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45799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45799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45799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45799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45799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45799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45799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45799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45799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45799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45799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45799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45799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45799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45799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45799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45799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45799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45799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45799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45799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45799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45799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45799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45799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45799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45799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45799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45799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45799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45799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45799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45799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45799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45799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45799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45799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45799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45799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45799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45799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45799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45799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45799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45799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45799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45799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45799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45799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45799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45799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45799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45799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45799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45799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45799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45799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45799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45799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45799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45799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45799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45799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45799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45799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45799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45799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45799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45799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45799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45799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45799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45799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45799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45799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45799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45799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45799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45799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45799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45799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45799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45799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45799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45799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45799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45799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45799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45799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45799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45799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45799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45799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45799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45799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45799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45799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45799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45799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45799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45799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45799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45799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45799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45799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45799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45799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45799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45799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45799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45799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45799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45799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45799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45799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45799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45799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45799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45799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45799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45799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45799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45799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45799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45799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45799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45799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45799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45799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45799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45799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45799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45799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45799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45799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45799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45799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45799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45799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45799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45799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45799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45799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45799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45799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45799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45799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45799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45799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45799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45799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45799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45799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45799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45799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45799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45799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45799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45799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45799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45799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45799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45799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45799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45799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45799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45799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45799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45799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45799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45799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45799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45799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45799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45799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45799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45799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45799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45799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45799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45799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45799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45799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45799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45799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45799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45799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45799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45799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45799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45799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45799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45799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45799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45799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45799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45799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45799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45799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45799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45799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45799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45799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45799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45799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45799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45799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45799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45799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45799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45799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45799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45799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45799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45799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45799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45799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45799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45799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45799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45799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45799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45799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45799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45799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45799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45799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45799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45799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45799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45799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45799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45799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45799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45799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45799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45799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45799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45799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45799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45799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45799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45799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45799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45799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45799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45799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45799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45799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45799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45799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45799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45799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45799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45799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45799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45799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45799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45799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45799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45799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45799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45799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45799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45799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45799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45799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45799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45799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45799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45799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45799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45799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45799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45799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45799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45799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45799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45799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45799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45799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45799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45799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45799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45799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45799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45799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45799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45799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45799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45799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45799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45799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45799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45799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45799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45799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45799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45799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45799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45799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45799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45799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45799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45799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45799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45799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45799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45799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45799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45799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45799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45799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45799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45799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45799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45799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45799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45799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45799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45799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45799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45799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45799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45799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45799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45799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45799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45799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45799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45799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45799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45799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45799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45799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45799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45799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45799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45799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45799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45799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45799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45799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45799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45799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45799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45799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45799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45799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45799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45799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45799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45799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45799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45799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45799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45799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45799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45799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45799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45799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45799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45799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45799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45799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45799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45799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45799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45799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45799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45799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45799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45799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45799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45799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45799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45799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45799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45799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45799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45799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45799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45799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45799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45799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45799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45799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45799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45799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45799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45799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45799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45799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45799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45799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45799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45799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45799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45799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45799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45799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45799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45799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45799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45799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45799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45799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45799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45799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45799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45799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45799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45799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45799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45799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45799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45799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45799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45799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45799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45799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45799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45799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45799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45799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45799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45799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45799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45799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45799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45799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45799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45799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45799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45799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45799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45799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45799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45799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45799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45799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45799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45799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45799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45799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45799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45799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45799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45799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45799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45799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45799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45799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45799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45799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45799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45799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45799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45799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45799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45799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45799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45799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45799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45799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45799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45799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45799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45799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45799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45799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45799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45799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45799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45799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45799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45799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45799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45799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45799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45799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45799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45799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45799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45799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45799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45799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45799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45799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45799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45799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45799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45799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45799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45799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45799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45799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45799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45799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45799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45799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45799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45799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45799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45799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45799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45799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45799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45799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45799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45799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45799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45799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45799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45799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45799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45799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45799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45799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45799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45799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45799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45799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45799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45799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45799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45799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45799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45799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45799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45799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45799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45799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45799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45799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45799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45799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45799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45799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45799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45799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45799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45799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45799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45799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45799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45799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45799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45799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45799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45799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45799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45799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45799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45799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45799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45799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45799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45799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45799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45799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45799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45799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45799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45799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45799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45799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45799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45799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45799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45799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45799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45799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45799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45799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45799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45799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45799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45799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45799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45799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45799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45799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45799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45799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45799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45799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45799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45799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45799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45799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45799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45799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45799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45799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45799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45799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45799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45799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45799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45799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45799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45799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45799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45799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45799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45799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45799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45799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45799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45799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45799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45799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45799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45799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45799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45799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45799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45799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45799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45799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45799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45799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45799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45799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45799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45799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45799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45799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45799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45799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45799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45799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45799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45799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45799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45799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45799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45799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45799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45799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45799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45799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45799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45799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45799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45799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45799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45799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45799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45799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45799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45799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45799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45799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45799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45799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45799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45799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45799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45799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45799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45799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45799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45799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45799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45799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45799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45799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45799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45799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45799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45799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45799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45799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45799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45799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45799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45799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45799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45799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45799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45799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45799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45799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45799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45799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45799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45799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45799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45799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45799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45799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45799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45799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45799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45799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45799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45799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45799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45799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45799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45799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45799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45799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45799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45799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45799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45799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45799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45799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45799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45799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45799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45799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45799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45799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45799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45799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45799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45799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45799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45799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45799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45799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45799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45799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45799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45799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45799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45799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45799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45799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45799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45799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45799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45799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45799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45799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45799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45799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45799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45799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45799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45799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45799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45799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45799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45799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45799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45799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45799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45799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45799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45799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45799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45799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45799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45799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45799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45799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45799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45799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45799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45799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45799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45799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45799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45799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45799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45799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45799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45799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45799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45799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45799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45799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45799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45799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45799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45799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45799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45799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45799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45799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45799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45799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45799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45799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45799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45799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45799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45799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45799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45799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45799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45799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45799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45799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45799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45799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45799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45799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45799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45799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45799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45799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45799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45799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45799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45799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45799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45799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45799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45799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45799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45799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45799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45799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45799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45799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45799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45799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45799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45799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45799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45799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45799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45799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45799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45799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45799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45799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45799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45799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45799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45799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45799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45799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45799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45799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45799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45799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45799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45799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45799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45799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45799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45799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45799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45799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45799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45799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45799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45799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45799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45799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45799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45799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45799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45799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45799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45799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45799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45799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45799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45799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45799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45799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45799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45799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45799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45799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45799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45799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45799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45799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45799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45799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45799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45799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45799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45799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45799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45799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45799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45799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45799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45799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45799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45799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45799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45799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45799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45799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45799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45799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45799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45799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45799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45799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45799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45799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45799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45799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45799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45799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45799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45799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45799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45799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45799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45799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45799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45799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45799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45799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45799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45799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45799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45799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45799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45799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45799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45799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45799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45799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45799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45799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45799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45799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45799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45799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45799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45799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45799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45799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45799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45799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45799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45799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45799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45799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45799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45799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45799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45799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45799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45799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45799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45799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45799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45799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45799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45799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45799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45799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45799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45799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45799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45799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45799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45799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45799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45799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45799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45799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45799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45799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45799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45799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45799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45799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45799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45799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45799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45799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45799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45799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45799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45799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45799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45799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45799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45799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45799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45799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45799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45799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45799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45799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45799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45799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45799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45799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45799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45799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45799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45799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45799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45799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45799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45799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45799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45799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45799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45799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45799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45799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45799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45799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45799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45799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45799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45799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45799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45799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45799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45799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45799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45799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45799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45799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45799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45799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45799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45799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45799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45799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45799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45799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45799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45799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45799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45799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45799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45799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45799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45799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45799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45799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45799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45799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45799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45799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45799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45799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45799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45799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45799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45799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45799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45799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45799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45799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45799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45799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45799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45799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45799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45799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45799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45799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45799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45799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45799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45799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45799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45799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45799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45799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45799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45799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45799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45799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45799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45799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45799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45799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45799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45799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45799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45799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45799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45799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45799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45799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45799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45799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45799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45799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45799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45799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45799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45799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45799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45799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45799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45799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45799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45799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45799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45799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45799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45799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45799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45799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45799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45799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45799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45799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45799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45799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45799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45799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45799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45799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45799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45799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45799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45799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45799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45799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45799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45799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45799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45799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45799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45799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45799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45799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45799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45799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45799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45799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45799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45799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45799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45799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45799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45799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45799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45799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45799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45799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45799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45799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45799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45799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45799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45799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45799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45799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45799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45799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45799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45799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45799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45799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45799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45799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45799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45799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45799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45799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45799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45799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45799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45799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45799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45799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45799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45799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45799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45799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45799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45799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45799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45799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45799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45799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45799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45799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45799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45799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45799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45799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45799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45799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45799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45799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45799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45799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45799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45799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45799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45799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45799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45799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45799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45799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45799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45799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45799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45799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45799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45799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45799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45799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45799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45799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45799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45799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45799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45799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45799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45799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45799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45799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45799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45799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45799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45799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45799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45799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45799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45799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45799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45799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45799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45799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45799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45799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45799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45799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45799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45799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45799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45799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45799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45799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45799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45799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45799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45799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45799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45799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45799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45799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45799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45799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45799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45799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45799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45799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45799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45799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45799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45799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45799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45799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45799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45799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45799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45799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45799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45799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45799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45799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45799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45799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45799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45799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45799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45799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45799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45799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45799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45799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45799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45799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45799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45799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45799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45799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45799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45799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45799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45799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45799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45799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45799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45799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45799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45799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45799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45799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45799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45799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45799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45799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45799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45799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45799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45799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45799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45799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45799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45799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45799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45799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45799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45799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45799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45799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45799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45799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45799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45799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45799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45799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45799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45799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45799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45799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45799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45799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45799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45799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45799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45799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45799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45799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45799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45799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45799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45799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45799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45799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45799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45799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45799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45799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45799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45799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45799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45799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45799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45799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45799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45799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45799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45799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45799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45799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45799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45799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45799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45799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45799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45799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45799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45799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45799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45799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45799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45799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45799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45799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45799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45799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45799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45799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45799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45799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45799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45799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45799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45799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45799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45799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45799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45799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45799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45799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45799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45799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45799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45799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45799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45799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45799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45799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45799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45799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45799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45799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45799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45799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45799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45799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45799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45799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45799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45799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45799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45799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45799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45799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45799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45799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45799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45799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45799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45799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45799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45799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45799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45799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45799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45799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45799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45799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45799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45799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45799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45799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45799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45799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45799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45799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45799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45799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45799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45799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45799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45799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45799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45799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45799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45799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45799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45799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45799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45799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45799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45799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45799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45799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45799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45799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45799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45799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45799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45799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45799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45799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45799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45799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45799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45799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45799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45799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45799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45799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45799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45799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45799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45799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45799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45799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45799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45799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45799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45799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45799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45799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45799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45799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45799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45799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45799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45799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45799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45799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45799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45799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45799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45799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45799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45799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45799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45799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45799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45799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45799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45799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45799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45799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45799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45799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45799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45799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45799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45799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45799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45799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45799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45799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45799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45799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45799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45799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45799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45799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45799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45799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45799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45799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45799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45799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45799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45799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45799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45799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45799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45799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45799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45799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45799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45799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45799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45799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45799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45799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45799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45799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45799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45799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45799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45799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45799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45799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45799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45799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45799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45799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45799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45799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45799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45799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45799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45799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45799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45799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45799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45799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45799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45799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45799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45799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45799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45799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45799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45799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45799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45799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45799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45799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45799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45799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45799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45799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45799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45799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45799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45799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45799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45799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45799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45799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45799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45799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45799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45799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45799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45799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45799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45799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45799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45799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45799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45799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45799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45799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45799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45799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45799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45799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45799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45799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45799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45799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45799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45799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45799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45799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45799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45799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45799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45799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45799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45799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45799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45799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45799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45799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45799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45799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45799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45799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45799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45799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45799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45799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45799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45799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45799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45799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45799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45799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45799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45799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45799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45799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45799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45799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45799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45799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45799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45799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45799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45799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45799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45799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45799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45799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45799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45799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45799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45799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45799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45799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45799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45799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45799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45799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45799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45799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45799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45799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45799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45799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45799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45799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45799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45799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45799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45799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45799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45799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45799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45799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45799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45799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45799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45799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45799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45799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45799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45799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45799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45799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45799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45799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45799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45799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45799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45799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45799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45799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45799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45799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45799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45799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45799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45799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45799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45799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45799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45799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45799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45799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45799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45799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45799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45799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45799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45799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45799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45799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45799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45799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45799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45799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45799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45799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45799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45799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45799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45799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45799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45799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45799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45799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45799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45799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45799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45799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45799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45799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45799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45799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45799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45799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45799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45799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45799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45799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45799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45799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45799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45799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45799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45799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45799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45799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45799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45799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45799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45799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45799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45799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45799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45799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45799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45799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45799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45799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45799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45799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45799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45799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45799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45799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45799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45799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45799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45799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45799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45799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45799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45799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45799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45799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45799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45799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45799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45799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45799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45799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45799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45799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45799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45799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45799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45799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45799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45799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45799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45799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45799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45799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45799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45799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45799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45799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45799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45799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45799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45799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45799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45799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45799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45799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45799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45799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45799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45799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45799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45799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45799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45799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45799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45799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45799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45799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45799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45799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45799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45799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45799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45799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45799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45799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45799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45799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45799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45799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45799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45799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45799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45799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45799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45799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45799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45799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45799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45799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45799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45799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45799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45799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45799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45799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45799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45799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45799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45799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45799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45799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45799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45799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45799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45799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45799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45799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45799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45799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45799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45799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45799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45799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45799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45799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45799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45799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45799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45799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45799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45799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45799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45799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45799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45799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45799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45799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45799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45799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45799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45799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45799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45799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45799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45799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45799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45799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45799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45799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45799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45799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45799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45799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45799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45799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45799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45799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45799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45799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45799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45799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45799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45799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45799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45799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45799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45799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45799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45799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45799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45799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45799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45799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45799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45799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45799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45799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45799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45799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45799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45799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45799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45799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45799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45799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45799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45799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45799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45799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45799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45799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45799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45799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45799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45799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45799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45799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45799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45799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45799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45799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45799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45799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45799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45799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45799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45799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45799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45799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45799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45799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45799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45799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45799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45799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45799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45799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45799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45799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45799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45799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45799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45799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45799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45799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45799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45799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45799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45799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45799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45799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45799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45799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45799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45799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45799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45799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45799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45799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45799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45799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45799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45799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45799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45799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45799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45799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45799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45799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45799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45799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45799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45799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45799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45799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45799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45799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45799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45799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45799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45799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45799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45799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45799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45799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45799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45799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45799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45799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45799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45799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45799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45799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45799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45799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45799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45799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45799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45799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45799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45799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45799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45799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45799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45799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45799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45799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45799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45799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45799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45799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45799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45799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45799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45799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45799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45799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45799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45799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45799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45799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45799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45799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45799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45799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45799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45799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45799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45799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45799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45799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45799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45799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45799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45799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45799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45799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45799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45799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45799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45799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45799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45799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45799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45799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45799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45799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45799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45799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45799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45799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45799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45799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45799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45799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45799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45799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45799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45799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45799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45799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45799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45799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45799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45799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45799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45799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45799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45799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45799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45799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45799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45799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45799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45799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45799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45799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45799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45799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45799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45799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45799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45799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45799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45799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45799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45799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45799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45799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45799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45799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45799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45799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45799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45799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45799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45799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45799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45799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45799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45799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45799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45799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45799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45799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45799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45799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45799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45799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45799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45799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45799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45799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45799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45799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45799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45799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45799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45799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45799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45799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45799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45799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45799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45799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45799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45799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45799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45799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45799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45799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45799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45799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45799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45799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45799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45799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45799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45799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45799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45799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45799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45799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45799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45799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45799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45799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45799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45799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45799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45799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45799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45799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45799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45799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45799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45799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45799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45799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45799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45799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45799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45799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45799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45799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45799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45799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45799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45799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45799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45799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45799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45799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45799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45799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45799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45799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45799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45799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45799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45799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45799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45799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45799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45799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45799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45799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45799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45799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45799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45799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45799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45799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45799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45799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45799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45799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45799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45799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45799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45799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45799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45799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45799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45799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45799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45799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45799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45799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45799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45799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45799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45799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45799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45799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45799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45799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45799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45799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45799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45799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45799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45799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45799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45799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45799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45799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45799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45799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45799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45799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45799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45799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45799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45799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45799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45799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45799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45799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45799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45799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45799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45799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45799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45799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45799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45799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45799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45799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45799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45799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45799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45799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45799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45799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45799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45799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45799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45799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45799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45799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45799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45799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45799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45799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45799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45799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45799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45799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45799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45799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45799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45799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45799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45799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45799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45799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45799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45799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45799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45799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45799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45799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45799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45799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45799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45799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45799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45799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45799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45799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45799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45799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45799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45799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45799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45799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45799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45799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45799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45799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45799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45799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45799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45799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45799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45799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45799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45799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45799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45799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45799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45799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45799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45799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45799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45799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45799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45799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45799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45799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45799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45799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45799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45799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45799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45799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45799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45799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45799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45799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45799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45799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45799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45799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45799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45799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45799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45799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45799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45799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45799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45799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45799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45799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45799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45799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45799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45799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45799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45799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45799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45799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45799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45799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45799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45799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45799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45799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45799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45799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45799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45799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45799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45799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45799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45799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45799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45799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45799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45799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45799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45799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45799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45799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45799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45799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45799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45799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45799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45799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45799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45799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45799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45799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45799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45799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45799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45799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45799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45799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45799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45799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45799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45799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45799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45799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45799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45799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45799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45799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45799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45799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45799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45799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45799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45799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45799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45799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45799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45799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45799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45799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45799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45799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45799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45799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45799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45799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45799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45799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45799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45799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45799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45799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45799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45799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45799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45799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45799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45799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45799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45799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45799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45799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45799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45799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45799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45799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45799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45799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45799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45799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45799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45799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45799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45799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45799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45799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45799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45799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45799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45799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45799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45799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45799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45799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45799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45799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45799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45799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45799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45799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45799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45799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45799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45799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45799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45799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45799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45799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45799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45799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45799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45799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45799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45799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45799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45799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45799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45799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45799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45799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45799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45799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45799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45799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45799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45799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45799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45799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45799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45799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45799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45799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45799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45799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45799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45799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45799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45799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45799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45799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45799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45799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45799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45799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45799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45799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45799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45799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45799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45799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45799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45799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45799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45799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45799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45799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45799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45799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45799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45799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45799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45799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45799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45799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45799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45799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45799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45799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45799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45799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45799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45799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45799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45799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45799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45799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45799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45799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45799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45799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45799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45799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45799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45799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45799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45799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45799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45799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45799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45799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45799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45799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45799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45799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45799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45799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45799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45799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45799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45799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45799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45799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45799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45799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45799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45799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45799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45799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45799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45799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45799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45799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45799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45799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45799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45799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45799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45799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45799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45799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45799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45799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45799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45799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45799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45799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45799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45799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45799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45799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45799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45799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45799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45799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45799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45799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45799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45799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45799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45799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45799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45799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45799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45799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45799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45799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45799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45799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45799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45799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45799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45799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45799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45799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45799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45799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45799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45799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45799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45799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45799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45799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45799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45799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45799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45799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45799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45799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45799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45799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45799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45799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45799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45799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45799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45799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45799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45799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45799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45799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45799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45799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45799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45799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45799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45799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45799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45799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45799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45799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45799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45799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45799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45799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45799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45799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45799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45799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45799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45799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45799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45799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45799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45799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45799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45799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45799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45799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45799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45799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45799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45799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45799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45799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45799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45799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45799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45799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45799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45799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45799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45799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45799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45799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45799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45799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45799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45799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45799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45799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45799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45799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45799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45799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45799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45799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45799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45799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45799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45799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45799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45799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45799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45799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45799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45799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45799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45799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45799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45799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45799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45799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45799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45799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45799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45799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45799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45799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45799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45799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45799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45799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45799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45799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45799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45799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45799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45799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45799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45799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45799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45799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45799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45799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45799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45799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45799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45799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45799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45799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45799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45799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45799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45799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45799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45799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45799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45799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45799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45799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45799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45799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45799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45799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45799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45799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45799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45799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45799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45799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45799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45799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45799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45799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45799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45799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45799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45799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45799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45799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45799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45799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45799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45799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45799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45799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45799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45799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45799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45799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45799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45799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45799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45799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45799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45799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45799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45799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45799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45799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45799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45799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45799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45799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45799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45799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45799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45799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45799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45799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45799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45799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45799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45799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45799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45799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45799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45799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45799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45799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45799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45799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45799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45799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45799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45799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45799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45799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45799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45799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45799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45799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45799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45799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45799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45799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45799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45799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45799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45799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45799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45799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45799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45799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45799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45799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45799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45799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45799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45799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45799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45799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45799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45799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45799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45799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45799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45799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45799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45799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45799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45799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45799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45799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45799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45799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45799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45799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45799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45799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45799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45799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45799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45799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45799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45799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45799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45799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45799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45799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45799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45799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45799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45799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45799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45799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45799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45799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45799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45799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45799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45799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45799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45799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45799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45799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45799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45799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45799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45799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45799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45799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45799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45799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45799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45799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45799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45799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45799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45799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45799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45799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45799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45799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45799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45799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45799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45799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45799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45799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45799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45799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45799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45799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45799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45799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45799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45799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45799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45799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45799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45799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45799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45799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45799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45799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45799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45799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45799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45799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45799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45799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45799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45799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45799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45799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45799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45799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45799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45799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45799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45799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45799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45799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45799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45799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45799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45799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45799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45799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45799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45799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45799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45799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45799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45799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45799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45799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45799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45799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45799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45799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45799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45799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45799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45799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45799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45799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45799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45799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45799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45799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45799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45799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45799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45799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45799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45799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45799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45799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45799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45799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45799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45799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45799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45799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45799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45799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45799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45799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45799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45799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45799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45799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45799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45799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45799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45799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45799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45799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45799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45799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45799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45799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45799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45799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45799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45799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45799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45799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45799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45799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45799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45799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45799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45799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45799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45799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45799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45799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45799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45799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45799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45799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45799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45799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45799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45799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45799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45799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45799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45799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45799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45799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45799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45799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45799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45799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45799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45799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45799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45799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45799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45799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45799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45799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45799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45799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45799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45799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45799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45799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45799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45799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45799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45799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45799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45799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45799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45799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45799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45799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45799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45799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45799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45799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45799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45799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45799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45799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45799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45799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45799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45799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45799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45799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45799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45799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45799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45799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45799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45799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45799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45799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45799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45799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45799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45799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45799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45799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45799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45799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45799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45799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45799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45799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45799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45799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45799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45799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45799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45799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45799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45799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45799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45799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45799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45799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45799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45799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45799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45799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45799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45799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45799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45799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45799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45799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45799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45799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45799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45799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45799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45799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45799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45799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45799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45799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45799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45799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45799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45799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45799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45799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45799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45799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45799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45799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45799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45799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45799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45799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45799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45799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45799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45799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45799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45799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45799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45799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45799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45799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45799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45799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45799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45799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45799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45799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45799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45799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45799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45799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45799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45799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45799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45799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45799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45799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45799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45799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45799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45799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45799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45799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45799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45799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45799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45799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45799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45799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45799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45799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45799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45799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45799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45799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45799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45799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45799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45799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45799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45799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45799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45799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45799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45799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45799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45799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45799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45799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45799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45799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45799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45799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45799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45799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45799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45799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45799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45799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45799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45799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45799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45799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45799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45799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45799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45799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45799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45799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45799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45799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45799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45799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45799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45799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45799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45799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45799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45799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45799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45799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45799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45799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45799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45799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45799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45799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45799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45799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45799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45799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45799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45799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45799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45799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45799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45799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45799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45799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45799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45799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45799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45799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45799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45799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45799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45799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45799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45799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45799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45799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45799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45799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45799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45799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45799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45799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45799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45799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45799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45799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45799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45799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45799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45799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45799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45799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45799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45799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45799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45799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45799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45799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45799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45799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45799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45799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45799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45799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45799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45799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45799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45799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45799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45799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45799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45799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45799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45799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45799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45799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45799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45799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45799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45799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45799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45799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45799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45799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45799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45799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45799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45799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45799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45799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45799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45799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45799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45799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45799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45799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45799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45799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45799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45799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45799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45799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45799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45799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45799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45799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45799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45799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45799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45799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45799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45799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45799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45799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45799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45799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45799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45799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45799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45799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45799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45799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45799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45799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45799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45799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45799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45799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45799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45799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45799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45799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45799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45799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45799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45799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45799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45799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45799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45799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45799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45799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45799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45799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45799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45799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45799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45799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45799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45799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45799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45799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45799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45799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45799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45799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45799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45799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45799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45799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45799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45799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45799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45799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45799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45799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45799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45799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45799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45799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45799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45799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45799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45799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45799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45799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45799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45799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45799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45799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45799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45799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45799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45799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45799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45799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45799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45799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45799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45799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45799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45799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45799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45799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45799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45799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45799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45799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45799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45799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45799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45799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45799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45799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45799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45799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45799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45799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45799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45799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45799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45799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45799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45799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45799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45799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45799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45799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45799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45799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45799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45799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45799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45799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45799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45799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45799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45799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45799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45799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45799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45799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45799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45799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45799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45799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45799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45799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45799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45799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45799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45799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45799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45799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45799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45799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45799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45799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45799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45799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45799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45799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45799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45799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45799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45799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45799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45799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45799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45799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45799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45799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45799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45799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45799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45799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45799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45799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45799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45799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45799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45799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45799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45799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45799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45799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45799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45799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45799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45799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45799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45799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45799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45799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45799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45799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45799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45799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45799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45799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45799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45799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45799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45799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45799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45799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45799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45799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45799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45799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45799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45799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45799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45799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45799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45799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45799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45799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45799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45799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45799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45799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45799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45799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45799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45799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45799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45799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45799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45799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45799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45799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45799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45799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45799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45799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45799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45799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45799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45799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45799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45799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45799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45799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45799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45799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45799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45799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45799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45799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45799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45799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45799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45799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45799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45799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45799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45799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45799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45799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45799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45799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45799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45799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45799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45799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45799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45799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45799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45799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45799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45799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45799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45799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45799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45799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45799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45799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45799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45799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45799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45799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45799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45799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45799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45799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45799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45799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45799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45799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45799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45799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45799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45799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45799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45799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45799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45799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45799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45799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45799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45799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45799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45799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45799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45799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45799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45799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45799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45799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45799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45799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45799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45799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45799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45799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45799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45799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45799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45799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45799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45799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45799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45799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45799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45799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45799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45799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45799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45799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45799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45799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45799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45799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45799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45799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45799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45799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45799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45799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45799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45799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45799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45799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45799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45799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45799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45799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45799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45799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45799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45799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45799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45799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45799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45799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45799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45799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45799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45799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45799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45799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45799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45799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45799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45799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45799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45799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45799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45799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45799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45799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45799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45799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45799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45799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45799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45799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45799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45799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45799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45799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45799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45799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45799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45799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45799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45799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45799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45799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45799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45799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45799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45799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45799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45799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45799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45799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45799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45799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45799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45799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45799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45799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45799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45799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45799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45799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45799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45799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45799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45799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45799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45799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45799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45799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45799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45799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45799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45799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45799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45799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45799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45799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45799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45799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45799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45799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45799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45799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45799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45799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45799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45799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45799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45799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45799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45799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45799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45799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45799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45799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45799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45799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45799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45799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45799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45799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45799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45799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45799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45799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45799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45799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45799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45799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45799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45799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45799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45799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45799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45799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45799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45799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45799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45799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45799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45799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45799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45799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45799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45799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45799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45799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45799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45799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45799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45799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45799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45799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45799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45799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45799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45799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45799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45799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45799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45799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45799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45799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45799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45799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45799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45799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45799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45799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45799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45799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45799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45799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45799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45799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45799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45799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45799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45799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45799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45799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45799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45799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45799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45799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45799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45799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45799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45799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45799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45799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45799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45799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45799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45799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45799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45799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45799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45799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45799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45799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45799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45799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45799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45799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45799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45799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45799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45799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45799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45799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45799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45799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45799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45799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45799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45799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45799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45799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45799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45799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45799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45799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45799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45799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45799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45799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45799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45799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45799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45799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45799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45799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45799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45799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45799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45799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45799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45799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45799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45799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45799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45799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45799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45799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45799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45799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45799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45799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45799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45799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45799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45799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45799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45799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45799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45799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45799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45799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45799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45799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45799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45799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45799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45799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45799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45799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45799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45799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45799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45799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45799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45799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45799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45799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45799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45799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45799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45799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45799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45799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45799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45799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45799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45799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45799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45799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45799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45799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45799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45799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45799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45799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45799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45799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45799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45799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45799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45799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45799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45799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45799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45799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45799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45799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45799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45799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45799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45799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45799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45799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45799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45799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45799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45799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45799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45799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45799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45799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45799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45799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45799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45799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45799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45799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45799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45799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45799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45799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45799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45799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45799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45799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45799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45799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45799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45799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45799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45799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45799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45799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45799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45799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45799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45799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45799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45799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45799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45799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45799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45799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45799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45799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45799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45799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45799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45799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45799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45799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45799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45799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45799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45799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45799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45799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45799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45799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45799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45799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45799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45799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45799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45799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45799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45799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45799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45799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45799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45799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45799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45799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45799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45799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45799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45799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45799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45799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45799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45799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45799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45799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45799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45799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45799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45799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45799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45799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45799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45799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45799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45799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45799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45799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45799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45799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45799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45799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45799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45799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45799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45799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45799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45799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45799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45799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45799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45799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45799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45799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45799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45799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45799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45799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45799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45799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45799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45799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45799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45799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45799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45799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45799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45799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45799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45799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45799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45799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45799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45799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45799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45799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45799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45799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45799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45799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45799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45799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45799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45799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45799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45799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45799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45799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45799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45799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45799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45799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45799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45799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45799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45799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45799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45799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45799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45799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45799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45799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45799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45799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45799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45799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45799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45799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45799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45799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45799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45799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45799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45799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45799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45799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45799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45799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45799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45799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45799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45799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45799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45799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45799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45799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45799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45799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45799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45799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45799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45799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45799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45799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45799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45799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45799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45799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45799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45799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45799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45799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45799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45799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45799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45799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45799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45799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45799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45799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45799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45799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45799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45799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45799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45799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45799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45799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45799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45799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45799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45799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45799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45799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45799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45799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45799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45799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45799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45799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45799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45799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45799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45799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45799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45799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45799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45799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45799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45799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45799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45799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45799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45799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45799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45799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45799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45799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45799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45799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45799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45799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45799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45799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45799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45799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45799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45799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45799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45799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45799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45799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45799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45799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45799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45799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45799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45799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45799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45799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45799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45799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45799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45799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45799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45799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45799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45799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45799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45799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45799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45799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45799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45799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45799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45799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45799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45799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45799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45799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45799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45799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45799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45799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45799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45799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45799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45799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45799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45799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45799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45799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45799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45799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45799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45799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45799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45799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45799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45799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45799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45799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45799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45799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45799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45799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45799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45799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45799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45799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45799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45799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45799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45799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45799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45799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45799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45799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45799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45799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45799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45799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45799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45799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45799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45799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45799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45799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45799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45799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45799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45799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45799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45799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45799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45799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45799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45799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45799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45799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45799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45799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45799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45799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45799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45799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45799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45799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45799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45799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45799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45799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45799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45799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45799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45799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45799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45799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45799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45799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45799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45799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45799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45799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45799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45799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45799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45799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45799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45799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45799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45799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45799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45799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45799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45799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45799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45799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45799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45799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45799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45799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45799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45799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45799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45799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45799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45799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45799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45799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45799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45799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45799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45799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45799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45799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45799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45799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45799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45799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45799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45799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45799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45799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45799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45799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45799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45799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45799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45799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45799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45799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45799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45799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45799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45799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45799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45799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45799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45799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45799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45799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45799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45799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45799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45799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45799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45799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45799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45799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45799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45799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45799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45799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45799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45799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45799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45799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45799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45799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45799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45799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45799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45799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45799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45799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45799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45799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45799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45799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45799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45799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45799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45799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45799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45799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45799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45799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45799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45799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45799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45799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45799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45799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45799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45799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45799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45799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45799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45799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45799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45799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45799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45799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45799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45799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45799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45799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45799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45799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45799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45799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45799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45799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45799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45799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45799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45799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45799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45799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45799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45799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45799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45799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45799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45799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45799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45799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45799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45799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45799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45799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45799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45799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45799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45799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45799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45799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45799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45799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45799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45799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45799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45799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45799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45799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45799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45799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45799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45799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45799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45799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45799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45799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45799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45799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45799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45799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45799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45799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45799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45799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45799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45799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45799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45799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45799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45799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45799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45799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45799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45799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45799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45799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45799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45799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45799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45799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45799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45799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45799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45799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45799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45799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45799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45799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45799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45799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45799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45799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45799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45799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45799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45799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45799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45799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45799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45799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45799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45799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45799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45799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45799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45799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45799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45799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45799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45799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45799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45799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45799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45799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45799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45799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45799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45799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45799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45799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45799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45799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45799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45799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45799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45799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45799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45799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45799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45799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45799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45799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45799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45799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45799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45799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45799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45799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45799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45799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45799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45799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45799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45799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45799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45799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45799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45799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45799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45799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45799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45799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45799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45799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45799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45799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45799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45799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45799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45799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45799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45799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45799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45799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45799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45799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45799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45799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45799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45799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45799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45799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45799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45799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45799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45799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45799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45799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45799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45799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45799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45799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45799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45799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45799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45799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45799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45799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45799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45799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45799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45799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45799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45799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45799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45799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45799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45799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45799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45799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45799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45799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45799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45799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45799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45799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45799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45799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45799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45799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45799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45799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45799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45799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45799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45799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45799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45799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45799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45799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45799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45799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45799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45799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45799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45799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45799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45799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45799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45799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45799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45799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45799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45799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45799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45799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45799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45799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45799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45799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45799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45799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45799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45799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45799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45799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45799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45799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45799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45799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45799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45799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45799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45799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45799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45799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45799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45799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45799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45799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45799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45799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45799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45799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45799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45799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45799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45799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45799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45799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45799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45799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45799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45799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45799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45799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45799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45799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45799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45799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45799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45799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45799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45799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45799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45799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45799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45799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45799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45799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45799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45799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45799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45799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45799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45799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45799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45799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45799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45799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45799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45799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45799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45799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45799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45799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45799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45799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45799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45799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45799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45799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45799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45799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45799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45799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45799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45799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45799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45799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45799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45799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45799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45799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45799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45799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45799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45799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45799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45799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45799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45799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45799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45799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45799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45799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45799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45799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45799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45799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45799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45799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45799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45799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45799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45799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45799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45799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45799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45799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45799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45799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45799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45799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45799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45799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45799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45799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45799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45799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45799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45799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45799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45799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45799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45799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45799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45799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45799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45799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45799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45799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45799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45799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45799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45799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45799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45799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45799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45799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45799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45799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45799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45799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45799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45799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45799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45799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45799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45799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45799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45799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45799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45799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45799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45799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45799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45799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45799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45799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45799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45799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45799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45799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45799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45799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45799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45799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45799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45799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45799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45799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45799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45799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45799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45799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45799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45799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45799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45799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45799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45799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45799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45799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45799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45799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45799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45799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45799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45799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45799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45799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45799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45799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45799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45799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45799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45799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45799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45799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45799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45799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45799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45799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45799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45799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45799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45799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45799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45799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45799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45799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45799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45799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45799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45799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45799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45799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45799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45799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45799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45799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45799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45799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45799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45799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45799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45799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45799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45799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45799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45799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45799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45799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45799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45799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45799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45799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45799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45799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45799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45799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45799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45799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45799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45799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45799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45799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45799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45799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45799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45799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45799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45799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45799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45799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45799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45799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45799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45799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45799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45799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45799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45799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45799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45799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45799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45799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45799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45799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45799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45799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45799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45799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45799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45799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45799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45799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45799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45799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45799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45799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45799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45799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45799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45799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45799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45799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45799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45799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45799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45799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45799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45799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45799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45799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45799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45799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45799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45799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45799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45799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45799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45799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45799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45799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45799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45799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45799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45799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45799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45799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45799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45799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45799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45799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45799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45799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45799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45799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45799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45799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45799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45799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45799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45799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45799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45799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45799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45799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45799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45799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45799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45799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45799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45799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45799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45799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45799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45799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45799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45799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45799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45799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45799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45799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45799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45799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45799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45799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45799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45799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45799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45799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45799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45799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45799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45799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45799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45799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45799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45799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45799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45799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45799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45799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45799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45799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45799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45799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45799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45799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45799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45799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45799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45799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45799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45799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45799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45799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45799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45799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45799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45799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45799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45799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45799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45799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45799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45799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45799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45799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45799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45799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45799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45799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45799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45799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45799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45799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45799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45799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45799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45799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45799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45799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45799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45799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45799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45799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45799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45799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45799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45799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45799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45799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45799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45799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45799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45799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45799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45799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45799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45799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45799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45799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45799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45799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45799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45799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45799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45799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45799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45799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45799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45799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45799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45799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45799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45799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45799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45799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45799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45799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45799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45799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45799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45799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45799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45799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45799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45799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45799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45799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45799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45799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45799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45799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45799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45799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45799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45799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45799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45799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45799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45799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45799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45799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45799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45799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45799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45799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45799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45799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45799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45799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45799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45799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45799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45799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45799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45799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45799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45799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45799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45799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45799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45799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45799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45799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45799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45799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45799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45799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45799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45799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45799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45799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45799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45799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45799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45799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45799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45799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45799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45799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45799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45799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45799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45799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45799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45799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45799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45799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45799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45799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45799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45799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45799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45799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45799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45799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45799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45799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45799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45799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45799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45799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45799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45799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45799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45799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45799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45799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45799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45799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45799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45799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45799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45799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45799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45799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45799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45799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45799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45799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45799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45799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45799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45799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45799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45799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45799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45799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45799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45799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45799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45799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45799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45799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45799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45799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45799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45799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45799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45799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45799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45799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45799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45799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45799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45799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45799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45799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45799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45799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45799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45799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45799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45799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45799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45799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45799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45799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45799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45799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45799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45799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45799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45799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45799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45799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45799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45799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45799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45799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45799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45799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45799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45799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45799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45799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45799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45799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45799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45799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45799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45799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45799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45799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45799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45799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45799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45799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45799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45799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45799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45799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45799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45799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45799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45799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45799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45799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45799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45799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45799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45799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45799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45799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45799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45799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45799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45799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45799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45799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45799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45799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45799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45799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45799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45799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45799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45799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45799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45799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45799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45799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45799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45799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45799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45799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45799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45799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45799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45799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45799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45799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45799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45799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45799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45799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45799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45799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45799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45799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45799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45799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45799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45799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45799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45799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45799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45799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45799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45799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45799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45799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45799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45799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45799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45799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45799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45799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45799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45799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45799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45799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45799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45799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45799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45799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45799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45799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45799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45799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45799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45799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45799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45799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45799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45799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45799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45799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45799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45799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45799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45799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45799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45799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45799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45799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45799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45799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45799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45799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45799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45799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45799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45799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45799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45799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45799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45799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45799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45799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45799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45799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45799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45799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45799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45799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45799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45799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45799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45799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45799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45799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45799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45799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45799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45799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45799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45799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45799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45799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45799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45799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45799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45799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45799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45799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45799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45799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45799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45799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45799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45799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45799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45799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45799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45799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45799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45799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45799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45799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45799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45799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45799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45799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45799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45799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45799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45799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45799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45799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45799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45799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45799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45799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45799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45799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45799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45799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45799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45799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45799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45799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45799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45799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45799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45799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45799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45799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45799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45799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45799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45799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45799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45799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45799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45799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45799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45799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45799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45799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45799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45799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45799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45799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45799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45799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45799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45799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45799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45799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45799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45799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45799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45799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45799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45799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45799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45799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45799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45799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45799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45799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45799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45799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45799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45799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45799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45799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45799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45799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45799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45799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45799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45799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45799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45799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45799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45799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45799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45799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45799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45799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45799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45799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45799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45799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45799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45799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45799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45799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45799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45799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45799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45799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45799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45799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45799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45799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45799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45799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45799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45799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45799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45799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45799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45799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45799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45799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45799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45799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45799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45799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45799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45799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45799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45799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45799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45799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45799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45799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45799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45799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45799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45799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45799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45799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45799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45799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45799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45799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45799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45799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45799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45799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45799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45799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45799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45799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45799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45799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45799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45799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45799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45799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45799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45799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45799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45799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45799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45799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45799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45799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45799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45799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45799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45799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45799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45799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45799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45799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45799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45799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45799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45799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45799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45799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45799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45799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45799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45799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45799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45799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45799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45799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45799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45799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45799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45799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45799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45799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45799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45799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45799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45799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45799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45799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45799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45799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45799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45799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45799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45799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45799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45799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45799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45799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45799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45799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45799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45799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45799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45799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45799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45799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45799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45799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45799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45799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45799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45799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45799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45799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45799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45799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45799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45799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45799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45799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45799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45799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45799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45799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45799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45799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45799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45799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45799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45799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45799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45799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45799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45799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45799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45799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45799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45799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45799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45799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45799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45799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45799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45799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45799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45799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45799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45799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45799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45799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45799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45799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45799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45799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45799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45799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45799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45799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45799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45799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45799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45799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45799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45799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45799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45799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45799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45799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45799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45799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45799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45799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45799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45799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45799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45799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45799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45799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45799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45799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45799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45799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45799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45799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45799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45799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45799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45799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45799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45799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45799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45799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45799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45799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45799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45799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45799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45799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45799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45799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45799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45799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45799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45799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45799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45799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45799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45799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45799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45799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45799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45799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45799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45799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45799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45799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45799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45799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45799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45799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45799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45799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45799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45799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45799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45799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45799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45799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45799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45799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45799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45799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45799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45799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45799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45799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45799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45799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45799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45799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45799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45799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45799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45799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45799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45799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45799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45799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45799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45799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45799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45799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45799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45799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45799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45799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45799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45799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45799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45799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45799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45799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45799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45799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45799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45799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45799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45799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45799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45799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45799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45799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45799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45799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45799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45799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45799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45799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45799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45799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45799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45799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45799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45799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45799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45799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45799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45799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45799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45799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45799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45799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45799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45799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45799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45799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45799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45799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45799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45799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45799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45799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45799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45799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45799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45799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45799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45799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45799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45799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45799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45799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45799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45799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45799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45799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45799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45799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45799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45799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45799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45799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45799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45799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45799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45799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45799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45799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45799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45799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45799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45799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45799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45799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45799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45799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45799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45799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45799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45799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45799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45799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45799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45799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45799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45799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45799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45799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45799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45799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45799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45799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45799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45799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45799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45799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45799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45799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45799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45799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45799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45799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45799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45799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45799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45799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45799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19491-2025</t>
        </is>
      </c>
      <c r="B12883" s="1" t="n">
        <v>45770</v>
      </c>
      <c r="C12883" s="1" t="n">
        <v>45799</v>
      </c>
      <c r="D12883" t="inlineStr">
        <is>
          <t>JÖNKÖPINGS LÄN</t>
        </is>
      </c>
      <c r="E12883" t="inlineStr">
        <is>
          <t>EKSJÖ</t>
        </is>
      </c>
      <c r="F12883" t="inlineStr">
        <is>
          <t>Sveaskog</t>
        </is>
      </c>
      <c r="G12883" t="n">
        <v>1.8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19511-2025</t>
        </is>
      </c>
      <c r="B12884" s="1" t="n">
        <v>45770</v>
      </c>
      <c r="C12884" s="1" t="n">
        <v>45799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3.1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19557-2025</t>
        </is>
      </c>
      <c r="B12885" s="1" t="n">
        <v>45770</v>
      </c>
      <c r="C12885" s="1" t="n">
        <v>45799</v>
      </c>
      <c r="D12885" t="inlineStr">
        <is>
          <t>JÖNKÖPINGS LÄN</t>
        </is>
      </c>
      <c r="E12885" t="inlineStr">
        <is>
          <t>VETLANDA</t>
        </is>
      </c>
      <c r="G12885" t="n">
        <v>2.4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19500-2025</t>
        </is>
      </c>
      <c r="B12886" s="1" t="n">
        <v>45770</v>
      </c>
      <c r="C12886" s="1" t="n">
        <v>45799</v>
      </c>
      <c r="D12886" t="inlineStr">
        <is>
          <t>JÖNKÖPINGS LÄN</t>
        </is>
      </c>
      <c r="E12886" t="inlineStr">
        <is>
          <t>VÄRNAMO</t>
        </is>
      </c>
      <c r="G12886" t="n">
        <v>1.6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19507-2025</t>
        </is>
      </c>
      <c r="B12887" s="1" t="n">
        <v>45770</v>
      </c>
      <c r="C12887" s="1" t="n">
        <v>45799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3.3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19579-2025</t>
        </is>
      </c>
      <c r="B12888" s="1" t="n">
        <v>45770</v>
      </c>
      <c r="C12888" s="1" t="n">
        <v>45799</v>
      </c>
      <c r="D12888" t="inlineStr">
        <is>
          <t>JÖNKÖPINGS LÄN</t>
        </is>
      </c>
      <c r="E12888" t="inlineStr">
        <is>
          <t>GISLAVED</t>
        </is>
      </c>
      <c r="G12888" t="n">
        <v>1.1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19552-2025</t>
        </is>
      </c>
      <c r="B12889" s="1" t="n">
        <v>45770</v>
      </c>
      <c r="C12889" s="1" t="n">
        <v>45799</v>
      </c>
      <c r="D12889" t="inlineStr">
        <is>
          <t>JÖNKÖPINGS LÄN</t>
        </is>
      </c>
      <c r="E12889" t="inlineStr">
        <is>
          <t>VETLANDA</t>
        </is>
      </c>
      <c r="G12889" t="n">
        <v>2.9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19439-2025</t>
        </is>
      </c>
      <c r="B12890" s="1" t="n">
        <v>45770</v>
      </c>
      <c r="C12890" s="1" t="n">
        <v>45799</v>
      </c>
      <c r="D12890" t="inlineStr">
        <is>
          <t>JÖNKÖPINGS LÄN</t>
        </is>
      </c>
      <c r="E12890" t="inlineStr">
        <is>
          <t>GNOSJÖ</t>
        </is>
      </c>
      <c r="G12890" t="n">
        <v>1.7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19580-2025</t>
        </is>
      </c>
      <c r="B12891" s="1" t="n">
        <v>45770</v>
      </c>
      <c r="C12891" s="1" t="n">
        <v>45799</v>
      </c>
      <c r="D12891" t="inlineStr">
        <is>
          <t>JÖNKÖPINGS LÄN</t>
        </is>
      </c>
      <c r="E12891" t="inlineStr">
        <is>
          <t>GISLAVED</t>
        </is>
      </c>
      <c r="G12891" t="n">
        <v>5.8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19497-2025</t>
        </is>
      </c>
      <c r="B12892" s="1" t="n">
        <v>45770</v>
      </c>
      <c r="C12892" s="1" t="n">
        <v>45799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19504-2025</t>
        </is>
      </c>
      <c r="B12893" s="1" t="n">
        <v>45770</v>
      </c>
      <c r="C12893" s="1" t="n">
        <v>45799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19560-2025</t>
        </is>
      </c>
      <c r="B12894" s="1" t="n">
        <v>45770</v>
      </c>
      <c r="C12894" s="1" t="n">
        <v>45799</v>
      </c>
      <c r="D12894" t="inlineStr">
        <is>
          <t>JÖNKÖPINGS LÄN</t>
        </is>
      </c>
      <c r="E12894" t="inlineStr">
        <is>
          <t>JÖNKÖPING</t>
        </is>
      </c>
      <c r="G12894" t="n">
        <v>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19470-2025</t>
        </is>
      </c>
      <c r="B12895" s="1" t="n">
        <v>45770</v>
      </c>
      <c r="C12895" s="1" t="n">
        <v>45799</v>
      </c>
      <c r="D12895" t="inlineStr">
        <is>
          <t>JÖNKÖPINGS LÄN</t>
        </is>
      </c>
      <c r="E12895" t="inlineStr">
        <is>
          <t>VETLANDA</t>
        </is>
      </c>
      <c r="G12895" t="n">
        <v>4.9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19695-2025</t>
        </is>
      </c>
      <c r="B12896" s="1" t="n">
        <v>45770</v>
      </c>
      <c r="C12896" s="1" t="n">
        <v>45799</v>
      </c>
      <c r="D12896" t="inlineStr">
        <is>
          <t>JÖNKÖPINGS LÄN</t>
        </is>
      </c>
      <c r="E12896" t="inlineStr">
        <is>
          <t>TRANÅS</t>
        </is>
      </c>
      <c r="G12896" t="n">
        <v>1.1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19548-2025</t>
        </is>
      </c>
      <c r="B12897" s="1" t="n">
        <v>45770</v>
      </c>
      <c r="C12897" s="1" t="n">
        <v>45799</v>
      </c>
      <c r="D12897" t="inlineStr">
        <is>
          <t>JÖNKÖPINGS LÄN</t>
        </is>
      </c>
      <c r="E12897" t="inlineStr">
        <is>
          <t>VETLANDA</t>
        </is>
      </c>
      <c r="G12897" t="n">
        <v>5.4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19684-2025</t>
        </is>
      </c>
      <c r="B12898" s="1" t="n">
        <v>45770</v>
      </c>
      <c r="C12898" s="1" t="n">
        <v>45799</v>
      </c>
      <c r="D12898" t="inlineStr">
        <is>
          <t>JÖNKÖPINGS LÄN</t>
        </is>
      </c>
      <c r="E12898" t="inlineStr">
        <is>
          <t>NÄSSJÖ</t>
        </is>
      </c>
      <c r="G12898" t="n">
        <v>1.2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19672-2025</t>
        </is>
      </c>
      <c r="B12899" s="1" t="n">
        <v>45770</v>
      </c>
      <c r="C12899" s="1" t="n">
        <v>45799</v>
      </c>
      <c r="D12899" t="inlineStr">
        <is>
          <t>JÖNKÖPINGS LÄN</t>
        </is>
      </c>
      <c r="E12899" t="inlineStr">
        <is>
          <t>VAGGERYD</t>
        </is>
      </c>
      <c r="G12899" t="n">
        <v>1.8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19469-2025</t>
        </is>
      </c>
      <c r="B12900" s="1" t="n">
        <v>45770</v>
      </c>
      <c r="C12900" s="1" t="n">
        <v>45799</v>
      </c>
      <c r="D12900" t="inlineStr">
        <is>
          <t>JÖNKÖPINGS LÄN</t>
        </is>
      </c>
      <c r="E12900" t="inlineStr">
        <is>
          <t>EKSJÖ</t>
        </is>
      </c>
      <c r="F12900" t="inlineStr">
        <is>
          <t>Sveaskog</t>
        </is>
      </c>
      <c r="G12900" t="n">
        <v>1.9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19651-2025</t>
        </is>
      </c>
      <c r="B12901" s="1" t="n">
        <v>45770</v>
      </c>
      <c r="C12901" s="1" t="n">
        <v>45799</v>
      </c>
      <c r="D12901" t="inlineStr">
        <is>
          <t>JÖNKÖPINGS LÄN</t>
        </is>
      </c>
      <c r="E12901" t="inlineStr">
        <is>
          <t>JÖNKÖPING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45799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45799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45799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19861-2025</t>
        </is>
      </c>
      <c r="B12905" s="1" t="n">
        <v>45771</v>
      </c>
      <c r="C12905" s="1" t="n">
        <v>45799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Kyrkan</t>
        </is>
      </c>
      <c r="G12905" t="n">
        <v>4.8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19702-2025</t>
        </is>
      </c>
      <c r="B12906" s="1" t="n">
        <v>45771</v>
      </c>
      <c r="C12906" s="1" t="n">
        <v>45799</v>
      </c>
      <c r="D12906" t="inlineStr">
        <is>
          <t>JÖNKÖPINGS LÄN</t>
        </is>
      </c>
      <c r="E12906" t="inlineStr">
        <is>
          <t>SÄVSJÖ</t>
        </is>
      </c>
      <c r="G12906" t="n">
        <v>2.5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19759-2025</t>
        </is>
      </c>
      <c r="B12907" s="1" t="n">
        <v>45771</v>
      </c>
      <c r="C12907" s="1" t="n">
        <v>45799</v>
      </c>
      <c r="D12907" t="inlineStr">
        <is>
          <t>JÖNKÖPINGS LÄN</t>
        </is>
      </c>
      <c r="E12907" t="inlineStr">
        <is>
          <t>SÄVSJÖ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19804-2025</t>
        </is>
      </c>
      <c r="B12908" s="1" t="n">
        <v>45771</v>
      </c>
      <c r="C12908" s="1" t="n">
        <v>45799</v>
      </c>
      <c r="D12908" t="inlineStr">
        <is>
          <t>JÖNKÖPINGS LÄN</t>
        </is>
      </c>
      <c r="E12908" t="inlineStr">
        <is>
          <t>VETLANDA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19769-2025</t>
        </is>
      </c>
      <c r="B12909" s="1" t="n">
        <v>45771</v>
      </c>
      <c r="C12909" s="1" t="n">
        <v>45799</v>
      </c>
      <c r="D12909" t="inlineStr">
        <is>
          <t>JÖNKÖPINGS LÄN</t>
        </is>
      </c>
      <c r="E12909" t="inlineStr">
        <is>
          <t>SÄVSJÖ</t>
        </is>
      </c>
      <c r="G12909" t="n">
        <v>2.8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19943-2025</t>
        </is>
      </c>
      <c r="B12910" s="1" t="n">
        <v>45771</v>
      </c>
      <c r="C12910" s="1" t="n">
        <v>45799</v>
      </c>
      <c r="D12910" t="inlineStr">
        <is>
          <t>JÖNKÖPINGS LÄN</t>
        </is>
      </c>
      <c r="E12910" t="inlineStr">
        <is>
          <t>ANEBY</t>
        </is>
      </c>
      <c r="G12910" t="n">
        <v>2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19792-2025</t>
        </is>
      </c>
      <c r="B12911" s="1" t="n">
        <v>45771</v>
      </c>
      <c r="C12911" s="1" t="n">
        <v>45799</v>
      </c>
      <c r="D12911" t="inlineStr">
        <is>
          <t>JÖNKÖPINGS LÄN</t>
        </is>
      </c>
      <c r="E12911" t="inlineStr">
        <is>
          <t>NÄSSJÖ</t>
        </is>
      </c>
      <c r="G12911" t="n">
        <v>0.9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19806-2025</t>
        </is>
      </c>
      <c r="B12912" s="1" t="n">
        <v>45771</v>
      </c>
      <c r="C12912" s="1" t="n">
        <v>45799</v>
      </c>
      <c r="D12912" t="inlineStr">
        <is>
          <t>JÖNKÖPINGS LÄN</t>
        </is>
      </c>
      <c r="E12912" t="inlineStr">
        <is>
          <t>VETLANDA</t>
        </is>
      </c>
      <c r="G12912" t="n">
        <v>2.7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19912-2025</t>
        </is>
      </c>
      <c r="B12913" s="1" t="n">
        <v>45771</v>
      </c>
      <c r="C12913" s="1" t="n">
        <v>45799</v>
      </c>
      <c r="D12913" t="inlineStr">
        <is>
          <t>JÖNKÖPINGS LÄN</t>
        </is>
      </c>
      <c r="E12913" t="inlineStr">
        <is>
          <t>EKSJÖ</t>
        </is>
      </c>
      <c r="G12913" t="n">
        <v>1.3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19844-2025</t>
        </is>
      </c>
      <c r="B12914" s="1" t="n">
        <v>45771</v>
      </c>
      <c r="C12914" s="1" t="n">
        <v>45799</v>
      </c>
      <c r="D12914" t="inlineStr">
        <is>
          <t>JÖNKÖPINGS LÄN</t>
        </is>
      </c>
      <c r="E12914" t="inlineStr">
        <is>
          <t>VETLANDA</t>
        </is>
      </c>
      <c r="F12914" t="inlineStr">
        <is>
          <t>Sveaskog</t>
        </is>
      </c>
      <c r="G12914" t="n">
        <v>8.699999999999999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19856-2025</t>
        </is>
      </c>
      <c r="B12915" s="1" t="n">
        <v>45771</v>
      </c>
      <c r="C12915" s="1" t="n">
        <v>45799</v>
      </c>
      <c r="D12915" t="inlineStr">
        <is>
          <t>JÖNKÖPINGS LÄN</t>
        </is>
      </c>
      <c r="E12915" t="inlineStr">
        <is>
          <t>EKSJÖ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20004-2025</t>
        </is>
      </c>
      <c r="B12916" s="1" t="n">
        <v>45771</v>
      </c>
      <c r="C12916" s="1" t="n">
        <v>45799</v>
      </c>
      <c r="D12916" t="inlineStr">
        <is>
          <t>JÖNKÖPINGS LÄN</t>
        </is>
      </c>
      <c r="E12916" t="inlineStr">
        <is>
          <t>SÄVSJÖ</t>
        </is>
      </c>
      <c r="G12916" t="n">
        <v>7.1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45799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45799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45799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20178-2025</t>
        </is>
      </c>
      <c r="B12920" s="1" t="n">
        <v>45772</v>
      </c>
      <c r="C12920" s="1" t="n">
        <v>45799</v>
      </c>
      <c r="D12920" t="inlineStr">
        <is>
          <t>JÖNKÖPINGS LÄN</t>
        </is>
      </c>
      <c r="E12920" t="inlineStr">
        <is>
          <t>GISLAVED</t>
        </is>
      </c>
      <c r="F12920" t="inlineStr">
        <is>
          <t>Kyrkan</t>
        </is>
      </c>
      <c r="G12920" t="n">
        <v>5.4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20186-2025</t>
        </is>
      </c>
      <c r="B12921" s="1" t="n">
        <v>45772</v>
      </c>
      <c r="C12921" s="1" t="n">
        <v>45799</v>
      </c>
      <c r="D12921" t="inlineStr">
        <is>
          <t>JÖNKÖPINGS LÄN</t>
        </is>
      </c>
      <c r="E12921" t="inlineStr">
        <is>
          <t>GISLAVED</t>
        </is>
      </c>
      <c r="F12921" t="inlineStr">
        <is>
          <t>Kyrkan</t>
        </is>
      </c>
      <c r="G12921" t="n">
        <v>2.4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20095-2025</t>
        </is>
      </c>
      <c r="B12922" s="1" t="n">
        <v>45772</v>
      </c>
      <c r="C12922" s="1" t="n">
        <v>45799</v>
      </c>
      <c r="D12922" t="inlineStr">
        <is>
          <t>JÖNKÖPINGS LÄN</t>
        </is>
      </c>
      <c r="E12922" t="inlineStr">
        <is>
          <t>VAGGERYD</t>
        </is>
      </c>
      <c r="G12922" t="n">
        <v>6.1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20252-2025</t>
        </is>
      </c>
      <c r="B12923" s="1" t="n">
        <v>45772</v>
      </c>
      <c r="C12923" s="1" t="n">
        <v>45799</v>
      </c>
      <c r="D12923" t="inlineStr">
        <is>
          <t>JÖNKÖPINGS LÄN</t>
        </is>
      </c>
      <c r="E12923" t="inlineStr">
        <is>
          <t>VAGGERYD</t>
        </is>
      </c>
      <c r="G12923" t="n">
        <v>0.4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20254-2025</t>
        </is>
      </c>
      <c r="B12924" s="1" t="n">
        <v>45772</v>
      </c>
      <c r="C12924" s="1" t="n">
        <v>45799</v>
      </c>
      <c r="D12924" t="inlineStr">
        <is>
          <t>JÖNKÖPINGS LÄN</t>
        </is>
      </c>
      <c r="E12924" t="inlineStr">
        <is>
          <t>VÄRNAMO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20251-2025</t>
        </is>
      </c>
      <c r="B12925" s="1" t="n">
        <v>45772</v>
      </c>
      <c r="C12925" s="1" t="n">
        <v>45799</v>
      </c>
      <c r="D12925" t="inlineStr">
        <is>
          <t>JÖNKÖPINGS LÄN</t>
        </is>
      </c>
      <c r="E12925" t="inlineStr">
        <is>
          <t>VAGGERYD</t>
        </is>
      </c>
      <c r="G12925" t="n">
        <v>0.6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20015-2025</t>
        </is>
      </c>
      <c r="B12926" s="1" t="n">
        <v>45772</v>
      </c>
      <c r="C12926" s="1" t="n">
        <v>45799</v>
      </c>
      <c r="D12926" t="inlineStr">
        <is>
          <t>JÖNKÖPINGS LÄN</t>
        </is>
      </c>
      <c r="E12926" t="inlineStr">
        <is>
          <t>SÄVSJÖ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20197-2025</t>
        </is>
      </c>
      <c r="B12927" s="1" t="n">
        <v>45772</v>
      </c>
      <c r="C12927" s="1" t="n">
        <v>45799</v>
      </c>
      <c r="D12927" t="inlineStr">
        <is>
          <t>JÖNKÖPINGS LÄN</t>
        </is>
      </c>
      <c r="E12927" t="inlineStr">
        <is>
          <t>TRANÅS</t>
        </is>
      </c>
      <c r="F12927" t="inlineStr">
        <is>
          <t>Allmännings- och besparingsskogar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20199-2025</t>
        </is>
      </c>
      <c r="B12928" s="1" t="n">
        <v>45772</v>
      </c>
      <c r="C12928" s="1" t="n">
        <v>45799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20249-2025</t>
        </is>
      </c>
      <c r="B12929" s="1" t="n">
        <v>45772</v>
      </c>
      <c r="C12929" s="1" t="n">
        <v>45799</v>
      </c>
      <c r="D12929" t="inlineStr">
        <is>
          <t>JÖNKÖPINGS LÄN</t>
        </is>
      </c>
      <c r="E12929" t="inlineStr">
        <is>
          <t>GISLAVED</t>
        </is>
      </c>
      <c r="G12929" t="n">
        <v>0.6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20219-2025</t>
        </is>
      </c>
      <c r="B12930" s="1" t="n">
        <v>45772</v>
      </c>
      <c r="C12930" s="1" t="n">
        <v>45799</v>
      </c>
      <c r="D12930" t="inlineStr">
        <is>
          <t>JÖNKÖPINGS LÄN</t>
        </is>
      </c>
      <c r="E12930" t="inlineStr">
        <is>
          <t>ANEBY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20277-2025</t>
        </is>
      </c>
      <c r="B12931" s="1" t="n">
        <v>45774</v>
      </c>
      <c r="C12931" s="1" t="n">
        <v>45799</v>
      </c>
      <c r="D12931" t="inlineStr">
        <is>
          <t>JÖNKÖPINGS LÄN</t>
        </is>
      </c>
      <c r="E12931" t="inlineStr">
        <is>
          <t>TRANÅS</t>
        </is>
      </c>
      <c r="G12931" t="n">
        <v>1.4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20278-2025</t>
        </is>
      </c>
      <c r="B12932" s="1" t="n">
        <v>45774</v>
      </c>
      <c r="C12932" s="1" t="n">
        <v>45799</v>
      </c>
      <c r="D12932" t="inlineStr">
        <is>
          <t>JÖNKÖPINGS LÄN</t>
        </is>
      </c>
      <c r="E12932" t="inlineStr">
        <is>
          <t>TRANÅS</t>
        </is>
      </c>
      <c r="G12932" t="n">
        <v>1.3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45799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20576-2025</t>
        </is>
      </c>
      <c r="B12934" s="1" t="n">
        <v>45775</v>
      </c>
      <c r="C12934" s="1" t="n">
        <v>45799</v>
      </c>
      <c r="D12934" t="inlineStr">
        <is>
          <t>JÖNKÖPINGS LÄN</t>
        </is>
      </c>
      <c r="E12934" t="inlineStr">
        <is>
          <t>SÄVSJÖ</t>
        </is>
      </c>
      <c r="G12934" t="n">
        <v>0.5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20580-2025</t>
        </is>
      </c>
      <c r="B12935" s="1" t="n">
        <v>45775</v>
      </c>
      <c r="C12935" s="1" t="n">
        <v>45799</v>
      </c>
      <c r="D12935" t="inlineStr">
        <is>
          <t>JÖNKÖPINGS LÄN</t>
        </is>
      </c>
      <c r="E12935" t="inlineStr">
        <is>
          <t>SÄVSJÖ</t>
        </is>
      </c>
      <c r="G12935" t="n">
        <v>1.7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20414-2025</t>
        </is>
      </c>
      <c r="B12936" s="1" t="n">
        <v>45775</v>
      </c>
      <c r="C12936" s="1" t="n">
        <v>45799</v>
      </c>
      <c r="D12936" t="inlineStr">
        <is>
          <t>JÖNKÖPINGS LÄN</t>
        </is>
      </c>
      <c r="E12936" t="inlineStr">
        <is>
          <t>TRANÅS</t>
        </is>
      </c>
      <c r="G12936" t="n">
        <v>1.1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20451-2025</t>
        </is>
      </c>
      <c r="B12937" s="1" t="n">
        <v>45775</v>
      </c>
      <c r="C12937" s="1" t="n">
        <v>45799</v>
      </c>
      <c r="D12937" t="inlineStr">
        <is>
          <t>JÖNKÖPINGS LÄN</t>
        </is>
      </c>
      <c r="E12937" t="inlineStr">
        <is>
          <t>VÄRNAMO</t>
        </is>
      </c>
      <c r="G12937" t="n">
        <v>4.2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20420-2025</t>
        </is>
      </c>
      <c r="B12938" s="1" t="n">
        <v>45775</v>
      </c>
      <c r="C12938" s="1" t="n">
        <v>45799</v>
      </c>
      <c r="D12938" t="inlineStr">
        <is>
          <t>JÖNKÖPINGS LÄN</t>
        </is>
      </c>
      <c r="E12938" t="inlineStr">
        <is>
          <t>VETLANDA</t>
        </is>
      </c>
      <c r="G12938" t="n">
        <v>3.2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20569-2025</t>
        </is>
      </c>
      <c r="B12939" s="1" t="n">
        <v>45775</v>
      </c>
      <c r="C12939" s="1" t="n">
        <v>45799</v>
      </c>
      <c r="D12939" t="inlineStr">
        <is>
          <t>JÖNKÖPINGS LÄN</t>
        </is>
      </c>
      <c r="E12939" t="inlineStr">
        <is>
          <t>ANEBY</t>
        </is>
      </c>
      <c r="F12939" t="inlineStr">
        <is>
          <t>Kyrkan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20423-2025</t>
        </is>
      </c>
      <c r="B12940" s="1" t="n">
        <v>45775</v>
      </c>
      <c r="C12940" s="1" t="n">
        <v>45799</v>
      </c>
      <c r="D12940" t="inlineStr">
        <is>
          <t>JÖNKÖPINGS LÄN</t>
        </is>
      </c>
      <c r="E12940" t="inlineStr">
        <is>
          <t>GISLAVED</t>
        </is>
      </c>
      <c r="G12940" t="n">
        <v>6.8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20376-2025</t>
        </is>
      </c>
      <c r="B12941" s="1" t="n">
        <v>45775</v>
      </c>
      <c r="C12941" s="1" t="n">
        <v>45799</v>
      </c>
      <c r="D12941" t="inlineStr">
        <is>
          <t>JÖNKÖPINGS LÄN</t>
        </is>
      </c>
      <c r="E12941" t="inlineStr">
        <is>
          <t>JÖNKÖPING</t>
        </is>
      </c>
      <c r="G12941" t="n">
        <v>2.6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20579-2025</t>
        </is>
      </c>
      <c r="B12942" s="1" t="n">
        <v>45775</v>
      </c>
      <c r="C12942" s="1" t="n">
        <v>45799</v>
      </c>
      <c r="D12942" t="inlineStr">
        <is>
          <t>JÖNKÖPINGS LÄN</t>
        </is>
      </c>
      <c r="E12942" t="inlineStr">
        <is>
          <t>SÄVSJÖ</t>
        </is>
      </c>
      <c r="G12942" t="n">
        <v>0.9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20374-2025</t>
        </is>
      </c>
      <c r="B12943" s="1" t="n">
        <v>45775</v>
      </c>
      <c r="C12943" s="1" t="n">
        <v>45799</v>
      </c>
      <c r="D12943" t="inlineStr">
        <is>
          <t>JÖNKÖPINGS LÄN</t>
        </is>
      </c>
      <c r="E12943" t="inlineStr">
        <is>
          <t>JÖNKÖPING</t>
        </is>
      </c>
      <c r="G12943" t="n">
        <v>2.2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20542-2025</t>
        </is>
      </c>
      <c r="B12944" s="1" t="n">
        <v>45775</v>
      </c>
      <c r="C12944" s="1" t="n">
        <v>45799</v>
      </c>
      <c r="D12944" t="inlineStr">
        <is>
          <t>JÖNKÖPINGS LÄN</t>
        </is>
      </c>
      <c r="E12944" t="inlineStr">
        <is>
          <t>VETLANDA</t>
        </is>
      </c>
      <c r="G12944" t="n">
        <v>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20314-2025</t>
        </is>
      </c>
      <c r="B12945" s="1" t="n">
        <v>45775</v>
      </c>
      <c r="C12945" s="1" t="n">
        <v>45799</v>
      </c>
      <c r="D12945" t="inlineStr">
        <is>
          <t>JÖNKÖPINGS LÄN</t>
        </is>
      </c>
      <c r="E12945" t="inlineStr">
        <is>
          <t>JÖNKÖPING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20315-2025</t>
        </is>
      </c>
      <c r="B12946" s="1" t="n">
        <v>45775</v>
      </c>
      <c r="C12946" s="1" t="n">
        <v>45799</v>
      </c>
      <c r="D12946" t="inlineStr">
        <is>
          <t>JÖNKÖPINGS LÄN</t>
        </is>
      </c>
      <c r="E12946" t="inlineStr">
        <is>
          <t>JÖNKÖPING</t>
        </is>
      </c>
      <c r="G12946" t="n">
        <v>1.6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45799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20733-2025</t>
        </is>
      </c>
      <c r="B12948" s="1" t="n">
        <v>45776</v>
      </c>
      <c r="C12948" s="1" t="n">
        <v>45799</v>
      </c>
      <c r="D12948" t="inlineStr">
        <is>
          <t>JÖNKÖPINGS LÄN</t>
        </is>
      </c>
      <c r="E12948" t="inlineStr">
        <is>
          <t>NÄSSJÖ</t>
        </is>
      </c>
      <c r="G12948" t="n">
        <v>5.2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20739-2025</t>
        </is>
      </c>
      <c r="B12949" s="1" t="n">
        <v>45776</v>
      </c>
      <c r="C12949" s="1" t="n">
        <v>45799</v>
      </c>
      <c r="D12949" t="inlineStr">
        <is>
          <t>JÖNKÖPINGS LÄN</t>
        </is>
      </c>
      <c r="E12949" t="inlineStr">
        <is>
          <t>NÄSSJÖ</t>
        </is>
      </c>
      <c r="G12949" t="n">
        <v>1.5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20810-2025</t>
        </is>
      </c>
      <c r="B12950" s="1" t="n">
        <v>45776</v>
      </c>
      <c r="C12950" s="1" t="n">
        <v>45799</v>
      </c>
      <c r="D12950" t="inlineStr">
        <is>
          <t>JÖNKÖPINGS LÄN</t>
        </is>
      </c>
      <c r="E12950" t="inlineStr">
        <is>
          <t>TRANÅS</t>
        </is>
      </c>
      <c r="F12950" t="inlineStr">
        <is>
          <t>Allmännings- och besparingsskogar</t>
        </is>
      </c>
      <c r="G12950" t="n">
        <v>13.8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20839-2025</t>
        </is>
      </c>
      <c r="B12951" s="1" t="n">
        <v>45776</v>
      </c>
      <c r="C12951" s="1" t="n">
        <v>45799</v>
      </c>
      <c r="D12951" t="inlineStr">
        <is>
          <t>JÖNKÖPINGS LÄN</t>
        </is>
      </c>
      <c r="E12951" t="inlineStr">
        <is>
          <t>NÄSSJÖ</t>
        </is>
      </c>
      <c r="G12951" t="n">
        <v>5.3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20737-2025</t>
        </is>
      </c>
      <c r="B12952" s="1" t="n">
        <v>45776</v>
      </c>
      <c r="C12952" s="1" t="n">
        <v>45799</v>
      </c>
      <c r="D12952" t="inlineStr">
        <is>
          <t>JÖNKÖPINGS LÄN</t>
        </is>
      </c>
      <c r="E12952" t="inlineStr">
        <is>
          <t>NÄSSJÖ</t>
        </is>
      </c>
      <c r="G12952" t="n">
        <v>2.1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45799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20836-2025</t>
        </is>
      </c>
      <c r="B12954" s="1" t="n">
        <v>45776</v>
      </c>
      <c r="C12954" s="1" t="n">
        <v>45799</v>
      </c>
      <c r="D12954" t="inlineStr">
        <is>
          <t>JÖNKÖPINGS LÄN</t>
        </is>
      </c>
      <c r="E12954" t="inlineStr">
        <is>
          <t>SÄVSJÖ</t>
        </is>
      </c>
      <c r="G12954" t="n">
        <v>1.9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20842-2025</t>
        </is>
      </c>
      <c r="B12955" s="1" t="n">
        <v>45776</v>
      </c>
      <c r="C12955" s="1" t="n">
        <v>45799</v>
      </c>
      <c r="D12955" t="inlineStr">
        <is>
          <t>JÖNKÖPINGS LÄN</t>
        </is>
      </c>
      <c r="E12955" t="inlineStr">
        <is>
          <t>NÄSSJÖ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45799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45799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45799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45799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45799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21083-2025</t>
        </is>
      </c>
      <c r="B12961" s="1" t="n">
        <v>45777</v>
      </c>
      <c r="C12961" s="1" t="n">
        <v>45799</v>
      </c>
      <c r="D12961" t="inlineStr">
        <is>
          <t>JÖNKÖPINGS LÄN</t>
        </is>
      </c>
      <c r="E12961" t="inlineStr">
        <is>
          <t>JÖNKÖPING</t>
        </is>
      </c>
      <c r="G12961" t="n">
        <v>1.7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45799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21080-2025</t>
        </is>
      </c>
      <c r="B12963" s="1" t="n">
        <v>45777</v>
      </c>
      <c r="C12963" s="1" t="n">
        <v>45799</v>
      </c>
      <c r="D12963" t="inlineStr">
        <is>
          <t>JÖNKÖPINGS LÄN</t>
        </is>
      </c>
      <c r="E12963" t="inlineStr">
        <is>
          <t>GNOSJÖ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20986-2025</t>
        </is>
      </c>
      <c r="B12964" s="1" t="n">
        <v>45777</v>
      </c>
      <c r="C12964" s="1" t="n">
        <v>45799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9.6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21000-2025</t>
        </is>
      </c>
      <c r="B12965" s="1" t="n">
        <v>45777</v>
      </c>
      <c r="C12965" s="1" t="n">
        <v>45799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4.6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45799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45799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21073-2025</t>
        </is>
      </c>
      <c r="B12968" s="1" t="n">
        <v>45777</v>
      </c>
      <c r="C12968" s="1" t="n">
        <v>45799</v>
      </c>
      <c r="D12968" t="inlineStr">
        <is>
          <t>JÖNKÖPINGS LÄN</t>
        </is>
      </c>
      <c r="E12968" t="inlineStr">
        <is>
          <t>HABO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21082-2025</t>
        </is>
      </c>
      <c r="B12969" s="1" t="n">
        <v>45777</v>
      </c>
      <c r="C12969" s="1" t="n">
        <v>45799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21116-2025</t>
        </is>
      </c>
      <c r="B12970" s="1" t="n">
        <v>45777</v>
      </c>
      <c r="C12970" s="1" t="n">
        <v>45799</v>
      </c>
      <c r="D12970" t="inlineStr">
        <is>
          <t>JÖNKÖPINGS LÄN</t>
        </is>
      </c>
      <c r="E12970" t="inlineStr">
        <is>
          <t>GNOSJÖ</t>
        </is>
      </c>
      <c r="G12970" t="n">
        <v>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21104-2025</t>
        </is>
      </c>
      <c r="B12971" s="1" t="n">
        <v>45777</v>
      </c>
      <c r="C12971" s="1" t="n">
        <v>45799</v>
      </c>
      <c r="D12971" t="inlineStr">
        <is>
          <t>JÖNKÖPINGS LÄN</t>
        </is>
      </c>
      <c r="E12971" t="inlineStr">
        <is>
          <t>VÄRNAMO</t>
        </is>
      </c>
      <c r="G12971" t="n">
        <v>0.5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45799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45799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21072-2025</t>
        </is>
      </c>
      <c r="B12974" s="1" t="n">
        <v>45777</v>
      </c>
      <c r="C12974" s="1" t="n">
        <v>45799</v>
      </c>
      <c r="D12974" t="inlineStr">
        <is>
          <t>JÖNKÖPINGS LÄN</t>
        </is>
      </c>
      <c r="E12974" t="inlineStr">
        <is>
          <t>HABO</t>
        </is>
      </c>
      <c r="G12974" t="n">
        <v>1.3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45799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45799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21120-2025</t>
        </is>
      </c>
      <c r="B12977" s="1" t="n">
        <v>45777</v>
      </c>
      <c r="C12977" s="1" t="n">
        <v>45799</v>
      </c>
      <c r="D12977" t="inlineStr">
        <is>
          <t>JÖNKÖPINGS LÄN</t>
        </is>
      </c>
      <c r="E12977" t="inlineStr">
        <is>
          <t>GNOSJÖ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21149-2025</t>
        </is>
      </c>
      <c r="B12978" s="1" t="n">
        <v>45779</v>
      </c>
      <c r="C12978" s="1" t="n">
        <v>45799</v>
      </c>
      <c r="D12978" t="inlineStr">
        <is>
          <t>JÖNKÖPINGS LÄN</t>
        </is>
      </c>
      <c r="E12978" t="inlineStr">
        <is>
          <t>EKSJÖ</t>
        </is>
      </c>
      <c r="G12978" t="n">
        <v>1.4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21291-2025</t>
        </is>
      </c>
      <c r="B12979" s="1" t="n">
        <v>45779</v>
      </c>
      <c r="C12979" s="1" t="n">
        <v>45799</v>
      </c>
      <c r="D12979" t="inlineStr">
        <is>
          <t>JÖNKÖPINGS LÄN</t>
        </is>
      </c>
      <c r="E12979" t="inlineStr">
        <is>
          <t>EKSJÖ</t>
        </is>
      </c>
      <c r="G12979" t="n">
        <v>1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21224-2025</t>
        </is>
      </c>
      <c r="B12980" s="1" t="n">
        <v>45779</v>
      </c>
      <c r="C12980" s="1" t="n">
        <v>45799</v>
      </c>
      <c r="D12980" t="inlineStr">
        <is>
          <t>JÖNKÖPINGS LÄN</t>
        </is>
      </c>
      <c r="E12980" t="inlineStr">
        <is>
          <t>EKSJÖ</t>
        </is>
      </c>
      <c r="F12980" t="inlineStr">
        <is>
          <t>Kommuner</t>
        </is>
      </c>
      <c r="G12980" t="n">
        <v>3.1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21268-2025</t>
        </is>
      </c>
      <c r="B12981" s="1" t="n">
        <v>45779</v>
      </c>
      <c r="C12981" s="1" t="n">
        <v>45799</v>
      </c>
      <c r="D12981" t="inlineStr">
        <is>
          <t>JÖNKÖPINGS LÄN</t>
        </is>
      </c>
      <c r="E12981" t="inlineStr">
        <is>
          <t>JÖNKÖPING</t>
        </is>
      </c>
      <c r="G12981" t="n">
        <v>1.9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21270-2025</t>
        </is>
      </c>
      <c r="B12982" s="1" t="n">
        <v>45779</v>
      </c>
      <c r="C12982" s="1" t="n">
        <v>45799</v>
      </c>
      <c r="D12982" t="inlineStr">
        <is>
          <t>JÖNKÖPINGS LÄN</t>
        </is>
      </c>
      <c r="E12982" t="inlineStr">
        <is>
          <t>JÖNKÖPING</t>
        </is>
      </c>
      <c r="G12982" t="n">
        <v>2.3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21146-2025</t>
        </is>
      </c>
      <c r="B12983" s="1" t="n">
        <v>45779</v>
      </c>
      <c r="C12983" s="1" t="n">
        <v>45799</v>
      </c>
      <c r="D12983" t="inlineStr">
        <is>
          <t>JÖNKÖPINGS LÄN</t>
        </is>
      </c>
      <c r="E12983" t="inlineStr">
        <is>
          <t>EKSJÖ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21147-2025</t>
        </is>
      </c>
      <c r="B12984" s="1" t="n">
        <v>45779</v>
      </c>
      <c r="C12984" s="1" t="n">
        <v>45799</v>
      </c>
      <c r="D12984" t="inlineStr">
        <is>
          <t>JÖNKÖPINGS LÄN</t>
        </is>
      </c>
      <c r="E12984" t="inlineStr">
        <is>
          <t>EKSJÖ</t>
        </is>
      </c>
      <c r="G12984" t="n">
        <v>2.2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21468-2025</t>
        </is>
      </c>
      <c r="B12985" s="1" t="n">
        <v>45782</v>
      </c>
      <c r="C12985" s="1" t="n">
        <v>45799</v>
      </c>
      <c r="D12985" t="inlineStr">
        <is>
          <t>JÖNKÖPINGS LÄN</t>
        </is>
      </c>
      <c r="E12985" t="inlineStr">
        <is>
          <t>GISLAVED</t>
        </is>
      </c>
      <c r="G12985" t="n">
        <v>2.6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21467-2025</t>
        </is>
      </c>
      <c r="B12986" s="1" t="n">
        <v>45782</v>
      </c>
      <c r="C12986" s="1" t="n">
        <v>45799</v>
      </c>
      <c r="D12986" t="inlineStr">
        <is>
          <t>JÖNKÖPINGS LÄN</t>
        </is>
      </c>
      <c r="E12986" t="inlineStr">
        <is>
          <t>VAGGERYD</t>
        </is>
      </c>
      <c r="G12986" t="n">
        <v>1.4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21378-2025</t>
        </is>
      </c>
      <c r="B12987" s="1" t="n">
        <v>45782</v>
      </c>
      <c r="C12987" s="1" t="n">
        <v>45799</v>
      </c>
      <c r="D12987" t="inlineStr">
        <is>
          <t>JÖNKÖPINGS LÄN</t>
        </is>
      </c>
      <c r="E12987" t="inlineStr">
        <is>
          <t>SÄVSJÖ</t>
        </is>
      </c>
      <c r="G12987" t="n">
        <v>1.6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45799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21391-2025</t>
        </is>
      </c>
      <c r="B12989" s="1" t="n">
        <v>45782</v>
      </c>
      <c r="C12989" s="1" t="n">
        <v>45799</v>
      </c>
      <c r="D12989" t="inlineStr">
        <is>
          <t>JÖNKÖPINGS LÄN</t>
        </is>
      </c>
      <c r="E12989" t="inlineStr">
        <is>
          <t>TRANÅS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45799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21315-2025</t>
        </is>
      </c>
      <c r="B12991" s="1" t="n">
        <v>45782</v>
      </c>
      <c r="C12991" s="1" t="n">
        <v>45799</v>
      </c>
      <c r="D12991" t="inlineStr">
        <is>
          <t>JÖNKÖPINGS LÄN</t>
        </is>
      </c>
      <c r="E12991" t="inlineStr">
        <is>
          <t>VÄRNAMO</t>
        </is>
      </c>
      <c r="G12991" t="n">
        <v>1.6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21333-2025</t>
        </is>
      </c>
      <c r="B12992" s="1" t="n">
        <v>45782</v>
      </c>
      <c r="C12992" s="1" t="n">
        <v>45799</v>
      </c>
      <c r="D12992" t="inlineStr">
        <is>
          <t>JÖNKÖPINGS LÄN</t>
        </is>
      </c>
      <c r="E12992" t="inlineStr">
        <is>
          <t>ANEBY</t>
        </is>
      </c>
      <c r="G12992" t="n">
        <v>1.2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21351-2025</t>
        </is>
      </c>
      <c r="B12993" s="1" t="n">
        <v>45782</v>
      </c>
      <c r="C12993" s="1" t="n">
        <v>45799</v>
      </c>
      <c r="D12993" t="inlineStr">
        <is>
          <t>JÖNKÖPINGS LÄN</t>
        </is>
      </c>
      <c r="E12993" t="inlineStr">
        <is>
          <t>TRANÅS</t>
        </is>
      </c>
      <c r="G12993" t="n">
        <v>11.5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21581-2025</t>
        </is>
      </c>
      <c r="B12994" s="1" t="n">
        <v>45783</v>
      </c>
      <c r="C12994" s="1" t="n">
        <v>45799</v>
      </c>
      <c r="D12994" t="inlineStr">
        <is>
          <t>JÖNKÖPINGS LÄN</t>
        </is>
      </c>
      <c r="E12994" t="inlineStr">
        <is>
          <t>VETLANDA</t>
        </is>
      </c>
      <c r="G12994" t="n">
        <v>3.2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21675-2025</t>
        </is>
      </c>
      <c r="B12995" s="1" t="n">
        <v>45783</v>
      </c>
      <c r="C12995" s="1" t="n">
        <v>45799</v>
      </c>
      <c r="D12995" t="inlineStr">
        <is>
          <t>JÖNKÖPINGS LÄN</t>
        </is>
      </c>
      <c r="E12995" t="inlineStr">
        <is>
          <t>VAGGERYD</t>
        </is>
      </c>
      <c r="F12995" t="inlineStr">
        <is>
          <t>Sveaskog</t>
        </is>
      </c>
      <c r="G12995" t="n">
        <v>2.9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21676-2025</t>
        </is>
      </c>
      <c r="B12996" s="1" t="n">
        <v>45783</v>
      </c>
      <c r="C12996" s="1" t="n">
        <v>45799</v>
      </c>
      <c r="D12996" t="inlineStr">
        <is>
          <t>JÖNKÖPINGS LÄN</t>
        </is>
      </c>
      <c r="E12996" t="inlineStr">
        <is>
          <t>VETLANDA</t>
        </is>
      </c>
      <c r="G12996" t="n">
        <v>2.4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45799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21746-2025</t>
        </is>
      </c>
      <c r="B12998" s="1" t="n">
        <v>45783</v>
      </c>
      <c r="C12998" s="1" t="n">
        <v>45799</v>
      </c>
      <c r="D12998" t="inlineStr">
        <is>
          <t>JÖNKÖPINGS LÄN</t>
        </is>
      </c>
      <c r="E12998" t="inlineStr">
        <is>
          <t>VÄRNAMO</t>
        </is>
      </c>
      <c r="G12998" t="n">
        <v>2.1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21756-2025</t>
        </is>
      </c>
      <c r="B12999" s="1" t="n">
        <v>45783</v>
      </c>
      <c r="C12999" s="1" t="n">
        <v>45799</v>
      </c>
      <c r="D12999" t="inlineStr">
        <is>
          <t>JÖNKÖPINGS LÄN</t>
        </is>
      </c>
      <c r="E12999" t="inlineStr">
        <is>
          <t>GISLAVED</t>
        </is>
      </c>
      <c r="G12999" t="n">
        <v>3.7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21820-2025</t>
        </is>
      </c>
      <c r="B13000" s="1" t="n">
        <v>45783</v>
      </c>
      <c r="C13000" s="1" t="n">
        <v>45799</v>
      </c>
      <c r="D13000" t="inlineStr">
        <is>
          <t>JÖNKÖPINGS LÄN</t>
        </is>
      </c>
      <c r="E13000" t="inlineStr">
        <is>
          <t>VETLANDA</t>
        </is>
      </c>
      <c r="G13000" t="n">
        <v>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21818-2025</t>
        </is>
      </c>
      <c r="B13001" s="1" t="n">
        <v>45783</v>
      </c>
      <c r="C13001" s="1" t="n">
        <v>45799</v>
      </c>
      <c r="D13001" t="inlineStr">
        <is>
          <t>JÖNKÖPINGS LÄN</t>
        </is>
      </c>
      <c r="E13001" t="inlineStr">
        <is>
          <t>VETLANDA</t>
        </is>
      </c>
      <c r="G13001" t="n">
        <v>0.7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21703-2025</t>
        </is>
      </c>
      <c r="B13002" s="1" t="n">
        <v>45783</v>
      </c>
      <c r="C13002" s="1" t="n">
        <v>45799</v>
      </c>
      <c r="D13002" t="inlineStr">
        <is>
          <t>JÖNKÖPINGS LÄN</t>
        </is>
      </c>
      <c r="E13002" t="inlineStr">
        <is>
          <t>EKSJÖ</t>
        </is>
      </c>
      <c r="G13002" t="n">
        <v>3.1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45799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21995-2025</t>
        </is>
      </c>
      <c r="B13004" s="1" t="n">
        <v>45784</v>
      </c>
      <c r="C13004" s="1" t="n">
        <v>45799</v>
      </c>
      <c r="D13004" t="inlineStr">
        <is>
          <t>JÖNKÖPINGS LÄN</t>
        </is>
      </c>
      <c r="E13004" t="inlineStr">
        <is>
          <t>GISLAVED</t>
        </is>
      </c>
      <c r="G13004" t="n">
        <v>2.8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21997-2025</t>
        </is>
      </c>
      <c r="B13005" s="1" t="n">
        <v>45784</v>
      </c>
      <c r="C13005" s="1" t="n">
        <v>45799</v>
      </c>
      <c r="D13005" t="inlineStr">
        <is>
          <t>JÖNKÖPINGS LÄN</t>
        </is>
      </c>
      <c r="E13005" t="inlineStr">
        <is>
          <t>NÄSSJÖ</t>
        </is>
      </c>
      <c r="G13005" t="n">
        <v>3.5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21901-2025</t>
        </is>
      </c>
      <c r="B13006" s="1" t="n">
        <v>45784</v>
      </c>
      <c r="C13006" s="1" t="n">
        <v>45799</v>
      </c>
      <c r="D13006" t="inlineStr">
        <is>
          <t>JÖNKÖPINGS LÄN</t>
        </is>
      </c>
      <c r="E13006" t="inlineStr">
        <is>
          <t>VETLANDA</t>
        </is>
      </c>
      <c r="G13006" t="n">
        <v>1.2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22020-2025</t>
        </is>
      </c>
      <c r="B13007" s="1" t="n">
        <v>45784</v>
      </c>
      <c r="C13007" s="1" t="n">
        <v>45799</v>
      </c>
      <c r="D13007" t="inlineStr">
        <is>
          <t>JÖNKÖPINGS LÄN</t>
        </is>
      </c>
      <c r="E13007" t="inlineStr">
        <is>
          <t>JÖNKÖPING</t>
        </is>
      </c>
      <c r="G13007" t="n">
        <v>1.9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45799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21994-2025</t>
        </is>
      </c>
      <c r="B13009" s="1" t="n">
        <v>45784</v>
      </c>
      <c r="C13009" s="1" t="n">
        <v>45799</v>
      </c>
      <c r="D13009" t="inlineStr">
        <is>
          <t>JÖNKÖPINGS LÄN</t>
        </is>
      </c>
      <c r="E13009" t="inlineStr">
        <is>
          <t>GISLAVED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21996-2025</t>
        </is>
      </c>
      <c r="B13010" s="1" t="n">
        <v>45784</v>
      </c>
      <c r="C13010" s="1" t="n">
        <v>45799</v>
      </c>
      <c r="D13010" t="inlineStr">
        <is>
          <t>JÖNKÖPINGS LÄN</t>
        </is>
      </c>
      <c r="E13010" t="inlineStr">
        <is>
          <t>NÄSSJÖ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22155-2025</t>
        </is>
      </c>
      <c r="B13011" s="1" t="n">
        <v>45785</v>
      </c>
      <c r="C13011" s="1" t="n">
        <v>45799</v>
      </c>
      <c r="D13011" t="inlineStr">
        <is>
          <t>JÖNKÖPINGS LÄN</t>
        </is>
      </c>
      <c r="E13011" t="inlineStr">
        <is>
          <t>VETLANDA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22086-2025</t>
        </is>
      </c>
      <c r="B13012" s="1" t="n">
        <v>45785</v>
      </c>
      <c r="C13012" s="1" t="n">
        <v>45799</v>
      </c>
      <c r="D13012" t="inlineStr">
        <is>
          <t>JÖNKÖPINGS LÄN</t>
        </is>
      </c>
      <c r="E13012" t="inlineStr">
        <is>
          <t>VÄRNAMO</t>
        </is>
      </c>
      <c r="G13012" t="n">
        <v>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22230-2025</t>
        </is>
      </c>
      <c r="B13013" s="1" t="n">
        <v>45785</v>
      </c>
      <c r="C13013" s="1" t="n">
        <v>45799</v>
      </c>
      <c r="D13013" t="inlineStr">
        <is>
          <t>JÖNKÖPINGS LÄN</t>
        </is>
      </c>
      <c r="E13013" t="inlineStr">
        <is>
          <t>VETLANDA</t>
        </is>
      </c>
      <c r="G13013" t="n">
        <v>4.4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22248-2025</t>
        </is>
      </c>
      <c r="B13014" s="1" t="n">
        <v>45785</v>
      </c>
      <c r="C13014" s="1" t="n">
        <v>45799</v>
      </c>
      <c r="D13014" t="inlineStr">
        <is>
          <t>JÖNKÖPINGS LÄN</t>
        </is>
      </c>
      <c r="E13014" t="inlineStr">
        <is>
          <t>GISLAVED</t>
        </is>
      </c>
      <c r="F13014" t="inlineStr">
        <is>
          <t>Sveaskog</t>
        </is>
      </c>
      <c r="G13014" t="n">
        <v>2.7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22168-2025</t>
        </is>
      </c>
      <c r="B13015" s="1" t="n">
        <v>45785</v>
      </c>
      <c r="C13015" s="1" t="n">
        <v>45799</v>
      </c>
      <c r="D13015" t="inlineStr">
        <is>
          <t>JÖNKÖPINGS LÄN</t>
        </is>
      </c>
      <c r="E13015" t="inlineStr">
        <is>
          <t>NÄSSJÖ</t>
        </is>
      </c>
      <c r="G13015" t="n">
        <v>4.8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22158-2025</t>
        </is>
      </c>
      <c r="B13016" s="1" t="n">
        <v>45785</v>
      </c>
      <c r="C13016" s="1" t="n">
        <v>45799</v>
      </c>
      <c r="D13016" t="inlineStr">
        <is>
          <t>JÖNKÖPINGS LÄN</t>
        </is>
      </c>
      <c r="E13016" t="inlineStr">
        <is>
          <t>EKSJÖ</t>
        </is>
      </c>
      <c r="G13016" t="n">
        <v>4.5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22221-2025</t>
        </is>
      </c>
      <c r="B13017" s="1" t="n">
        <v>45785</v>
      </c>
      <c r="C13017" s="1" t="n">
        <v>45799</v>
      </c>
      <c r="D13017" t="inlineStr">
        <is>
          <t>JÖNKÖPINGS LÄN</t>
        </is>
      </c>
      <c r="E13017" t="inlineStr">
        <is>
          <t>JÖNKÖPING</t>
        </is>
      </c>
      <c r="G13017" t="n">
        <v>4.5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22081-2025</t>
        </is>
      </c>
      <c r="B13018" s="1" t="n">
        <v>45785</v>
      </c>
      <c r="C13018" s="1" t="n">
        <v>45799</v>
      </c>
      <c r="D13018" t="inlineStr">
        <is>
          <t>JÖNKÖPINGS LÄN</t>
        </is>
      </c>
      <c r="E13018" t="inlineStr">
        <is>
          <t>VAGGERYD</t>
        </is>
      </c>
      <c r="G13018" t="n">
        <v>1.4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22101-2025</t>
        </is>
      </c>
      <c r="B13019" s="1" t="n">
        <v>45785</v>
      </c>
      <c r="C13019" s="1" t="n">
        <v>45799</v>
      </c>
      <c r="D13019" t="inlineStr">
        <is>
          <t>JÖNKÖPINGS LÄN</t>
        </is>
      </c>
      <c r="E13019" t="inlineStr">
        <is>
          <t>VÄRNAMO</t>
        </is>
      </c>
      <c r="G13019" t="n">
        <v>1.3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22160-2025</t>
        </is>
      </c>
      <c r="B13020" s="1" t="n">
        <v>45785</v>
      </c>
      <c r="C13020" s="1" t="n">
        <v>45799</v>
      </c>
      <c r="D13020" t="inlineStr">
        <is>
          <t>JÖNKÖPINGS LÄN</t>
        </is>
      </c>
      <c r="E13020" t="inlineStr">
        <is>
          <t>EKSJÖ</t>
        </is>
      </c>
      <c r="G13020" t="n">
        <v>5.3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22121-2025</t>
        </is>
      </c>
      <c r="B13021" s="1" t="n">
        <v>45785</v>
      </c>
      <c r="C13021" s="1" t="n">
        <v>45799</v>
      </c>
      <c r="D13021" t="inlineStr">
        <is>
          <t>JÖNKÖPINGS LÄN</t>
        </is>
      </c>
      <c r="E13021" t="inlineStr">
        <is>
          <t>VETLANDA</t>
        </is>
      </c>
      <c r="G13021" t="n">
        <v>2.2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22176-2025</t>
        </is>
      </c>
      <c r="B13022" s="1" t="n">
        <v>45785</v>
      </c>
      <c r="C13022" s="1" t="n">
        <v>45799</v>
      </c>
      <c r="D13022" t="inlineStr">
        <is>
          <t>JÖNKÖPINGS LÄN</t>
        </is>
      </c>
      <c r="E13022" t="inlineStr">
        <is>
          <t>EKSJÖ</t>
        </is>
      </c>
      <c r="G13022" t="n">
        <v>1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22087-2025</t>
        </is>
      </c>
      <c r="B13023" s="1" t="n">
        <v>45785</v>
      </c>
      <c r="C13023" s="1" t="n">
        <v>45799</v>
      </c>
      <c r="D13023" t="inlineStr">
        <is>
          <t>JÖNKÖPINGS LÄN</t>
        </is>
      </c>
      <c r="E13023" t="inlineStr">
        <is>
          <t>VÄRNAMO</t>
        </is>
      </c>
      <c r="G13023" t="n">
        <v>4.8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22253-2025</t>
        </is>
      </c>
      <c r="B13024" s="1" t="n">
        <v>45785</v>
      </c>
      <c r="C13024" s="1" t="n">
        <v>45799</v>
      </c>
      <c r="D13024" t="inlineStr">
        <is>
          <t>JÖNKÖPINGS LÄN</t>
        </is>
      </c>
      <c r="E13024" t="inlineStr">
        <is>
          <t>VETLANDA</t>
        </is>
      </c>
      <c r="G13024" t="n">
        <v>1.9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22246-2025</t>
        </is>
      </c>
      <c r="B13025" s="1" t="n">
        <v>45785</v>
      </c>
      <c r="C13025" s="1" t="n">
        <v>45799</v>
      </c>
      <c r="D13025" t="inlineStr">
        <is>
          <t>JÖNKÖPINGS LÄN</t>
        </is>
      </c>
      <c r="E13025" t="inlineStr">
        <is>
          <t>GISLAVED</t>
        </is>
      </c>
      <c r="F13025" t="inlineStr">
        <is>
          <t>Sveaskog</t>
        </is>
      </c>
      <c r="G13025" t="n">
        <v>0.9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22258-2025</t>
        </is>
      </c>
      <c r="B13026" s="1" t="n">
        <v>45785</v>
      </c>
      <c r="C13026" s="1" t="n">
        <v>45799</v>
      </c>
      <c r="D13026" t="inlineStr">
        <is>
          <t>JÖNKÖPINGS LÄN</t>
        </is>
      </c>
      <c r="E13026" t="inlineStr">
        <is>
          <t>VETLANDA</t>
        </is>
      </c>
      <c r="G13026" t="n">
        <v>0.7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22263-2025</t>
        </is>
      </c>
      <c r="B13027" s="1" t="n">
        <v>45785</v>
      </c>
      <c r="C13027" s="1" t="n">
        <v>45799</v>
      </c>
      <c r="D13027" t="inlineStr">
        <is>
          <t>JÖNKÖPINGS LÄN</t>
        </is>
      </c>
      <c r="E13027" t="inlineStr">
        <is>
          <t>SÄVSJÖ</t>
        </is>
      </c>
      <c r="G13027" t="n">
        <v>1.8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22066-2025</t>
        </is>
      </c>
      <c r="B13028" s="1" t="n">
        <v>45785</v>
      </c>
      <c r="C13028" s="1" t="n">
        <v>45799</v>
      </c>
      <c r="D13028" t="inlineStr">
        <is>
          <t>JÖNKÖPINGS LÄN</t>
        </is>
      </c>
      <c r="E13028" t="inlineStr">
        <is>
          <t>SÄVSJÖ</t>
        </is>
      </c>
      <c r="G13028" t="n">
        <v>1.6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22367-2025</t>
        </is>
      </c>
      <c r="B13029" s="1" t="n">
        <v>45786</v>
      </c>
      <c r="C13029" s="1" t="n">
        <v>45799</v>
      </c>
      <c r="D13029" t="inlineStr">
        <is>
          <t>JÖNKÖPINGS LÄN</t>
        </is>
      </c>
      <c r="E13029" t="inlineStr">
        <is>
          <t>VÄRNAMO</t>
        </is>
      </c>
      <c r="G13029" t="n">
        <v>1.8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22421-2025</t>
        </is>
      </c>
      <c r="B13030" s="1" t="n">
        <v>45786</v>
      </c>
      <c r="C13030" s="1" t="n">
        <v>45799</v>
      </c>
      <c r="D13030" t="inlineStr">
        <is>
          <t>JÖNKÖPINGS LÄN</t>
        </is>
      </c>
      <c r="E13030" t="inlineStr">
        <is>
          <t>VETLANDA</t>
        </is>
      </c>
      <c r="G13030" t="n">
        <v>2.1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22298-2025</t>
        </is>
      </c>
      <c r="B13031" s="1" t="n">
        <v>45786</v>
      </c>
      <c r="C13031" s="1" t="n">
        <v>45799</v>
      </c>
      <c r="D13031" t="inlineStr">
        <is>
          <t>JÖNKÖPINGS LÄN</t>
        </is>
      </c>
      <c r="E13031" t="inlineStr">
        <is>
          <t>EKSJÖ</t>
        </is>
      </c>
      <c r="G13031" t="n">
        <v>0.6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22374-2025</t>
        </is>
      </c>
      <c r="B13032" s="1" t="n">
        <v>45786</v>
      </c>
      <c r="C13032" s="1" t="n">
        <v>45799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22574-2025</t>
        </is>
      </c>
      <c r="B13033" s="1" t="n">
        <v>45786</v>
      </c>
      <c r="C13033" s="1" t="n">
        <v>45799</v>
      </c>
      <c r="D13033" t="inlineStr">
        <is>
          <t>JÖNKÖPINGS LÄN</t>
        </is>
      </c>
      <c r="E13033" t="inlineStr">
        <is>
          <t>EKSJÖ</t>
        </is>
      </c>
      <c r="G13033" t="n">
        <v>0.5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22575-2025</t>
        </is>
      </c>
      <c r="B13034" s="1" t="n">
        <v>45786</v>
      </c>
      <c r="C13034" s="1" t="n">
        <v>45799</v>
      </c>
      <c r="D13034" t="inlineStr">
        <is>
          <t>JÖNKÖPINGS LÄN</t>
        </is>
      </c>
      <c r="E13034" t="inlineStr">
        <is>
          <t>EKSJÖ</t>
        </is>
      </c>
      <c r="G13034" t="n">
        <v>2.7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22463-2025</t>
        </is>
      </c>
      <c r="B13035" s="1" t="n">
        <v>45786</v>
      </c>
      <c r="C13035" s="1" t="n">
        <v>45799</v>
      </c>
      <c r="D13035" t="inlineStr">
        <is>
          <t>JÖNKÖPINGS LÄN</t>
        </is>
      </c>
      <c r="E13035" t="inlineStr">
        <is>
          <t>VETLANDA</t>
        </is>
      </c>
      <c r="G13035" t="n">
        <v>0.9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22465-2025</t>
        </is>
      </c>
      <c r="B13036" s="1" t="n">
        <v>45786</v>
      </c>
      <c r="C13036" s="1" t="n">
        <v>45799</v>
      </c>
      <c r="D13036" t="inlineStr">
        <is>
          <t>JÖNKÖPINGS LÄN</t>
        </is>
      </c>
      <c r="E13036" t="inlineStr">
        <is>
          <t>VETLANDA</t>
        </is>
      </c>
      <c r="G13036" t="n">
        <v>1.2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22430-2025</t>
        </is>
      </c>
      <c r="B13037" s="1" t="n">
        <v>45786</v>
      </c>
      <c r="C13037" s="1" t="n">
        <v>45799</v>
      </c>
      <c r="D13037" t="inlineStr">
        <is>
          <t>JÖNKÖPINGS LÄN</t>
        </is>
      </c>
      <c r="E13037" t="inlineStr">
        <is>
          <t>TRANÅS</t>
        </is>
      </c>
      <c r="G13037" t="n">
        <v>1.5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22527-2025</t>
        </is>
      </c>
      <c r="B13038" s="1" t="n">
        <v>45786</v>
      </c>
      <c r="C13038" s="1" t="n">
        <v>45799</v>
      </c>
      <c r="D13038" t="inlineStr">
        <is>
          <t>JÖNKÖPINGS LÄN</t>
        </is>
      </c>
      <c r="E13038" t="inlineStr">
        <is>
          <t>NÄSSJÖ</t>
        </is>
      </c>
      <c r="G13038" t="n">
        <v>2.3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22420-2025</t>
        </is>
      </c>
      <c r="B13039" s="1" t="n">
        <v>45786</v>
      </c>
      <c r="C13039" s="1" t="n">
        <v>45799</v>
      </c>
      <c r="D13039" t="inlineStr">
        <is>
          <t>JÖNKÖPINGS LÄN</t>
        </is>
      </c>
      <c r="E13039" t="inlineStr">
        <is>
          <t>VETLANDA</t>
        </is>
      </c>
      <c r="G13039" t="n">
        <v>2.5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22422-2025</t>
        </is>
      </c>
      <c r="B13040" s="1" t="n">
        <v>45786</v>
      </c>
      <c r="C13040" s="1" t="n">
        <v>45799</v>
      </c>
      <c r="D13040" t="inlineStr">
        <is>
          <t>JÖNKÖPINGS LÄN</t>
        </is>
      </c>
      <c r="E13040" t="inlineStr">
        <is>
          <t>VETLANDA</t>
        </is>
      </c>
      <c r="G13040" t="n">
        <v>0.5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22419-2025</t>
        </is>
      </c>
      <c r="B13041" s="1" t="n">
        <v>45786</v>
      </c>
      <c r="C13041" s="1" t="n">
        <v>45799</v>
      </c>
      <c r="D13041" t="inlineStr">
        <is>
          <t>JÖNKÖPINGS LÄN</t>
        </is>
      </c>
      <c r="E13041" t="inlineStr">
        <is>
          <t>VETLANDA</t>
        </is>
      </c>
      <c r="G13041" t="n">
        <v>3.7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22308-2025</t>
        </is>
      </c>
      <c r="B13042" s="1" t="n">
        <v>45786</v>
      </c>
      <c r="C13042" s="1" t="n">
        <v>45799</v>
      </c>
      <c r="D13042" t="inlineStr">
        <is>
          <t>JÖNKÖPINGS LÄN</t>
        </is>
      </c>
      <c r="E13042" t="inlineStr">
        <is>
          <t>VETLANDA</t>
        </is>
      </c>
      <c r="G13042" t="n">
        <v>3.7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22553-2025</t>
        </is>
      </c>
      <c r="B13043" s="1" t="n">
        <v>45788</v>
      </c>
      <c r="C13043" s="1" t="n">
        <v>45799</v>
      </c>
      <c r="D13043" t="inlineStr">
        <is>
          <t>JÖNKÖPINGS LÄN</t>
        </is>
      </c>
      <c r="E13043" t="inlineStr">
        <is>
          <t>JÖNKÖPING</t>
        </is>
      </c>
      <c r="G13043" t="n">
        <v>1.4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45799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45799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22552-2025</t>
        </is>
      </c>
      <c r="B13046" s="1" t="n">
        <v>45788</v>
      </c>
      <c r="C13046" s="1" t="n">
        <v>45799</v>
      </c>
      <c r="D13046" t="inlineStr">
        <is>
          <t>JÖNKÖPINGS LÄN</t>
        </is>
      </c>
      <c r="E13046" t="inlineStr">
        <is>
          <t>VÄRNAMO</t>
        </is>
      </c>
      <c r="G13046" t="n">
        <v>1.3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22554-2025</t>
        </is>
      </c>
      <c r="B13047" s="1" t="n">
        <v>45788</v>
      </c>
      <c r="C13047" s="1" t="n">
        <v>45799</v>
      </c>
      <c r="D13047" t="inlineStr">
        <is>
          <t>JÖNKÖPINGS LÄN</t>
        </is>
      </c>
      <c r="E13047" t="inlineStr">
        <is>
          <t>JÖNKÖPING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22620-2025</t>
        </is>
      </c>
      <c r="B13048" s="1" t="n">
        <v>45789</v>
      </c>
      <c r="C13048" s="1" t="n">
        <v>45799</v>
      </c>
      <c r="D13048" t="inlineStr">
        <is>
          <t>JÖNKÖPINGS LÄN</t>
        </is>
      </c>
      <c r="E13048" t="inlineStr">
        <is>
          <t>TRANÅS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22671-2025</t>
        </is>
      </c>
      <c r="B13049" s="1" t="n">
        <v>45789</v>
      </c>
      <c r="C13049" s="1" t="n">
        <v>45799</v>
      </c>
      <c r="D13049" t="inlineStr">
        <is>
          <t>JÖNKÖPINGS LÄN</t>
        </is>
      </c>
      <c r="E13049" t="inlineStr">
        <is>
          <t>TRANÅS</t>
        </is>
      </c>
      <c r="G13049" t="n">
        <v>2.5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22691-2025</t>
        </is>
      </c>
      <c r="B13050" s="1" t="n">
        <v>45789</v>
      </c>
      <c r="C13050" s="1" t="n">
        <v>45799</v>
      </c>
      <c r="D13050" t="inlineStr">
        <is>
          <t>JÖNKÖPINGS LÄN</t>
        </is>
      </c>
      <c r="E13050" t="inlineStr">
        <is>
          <t>HABO</t>
        </is>
      </c>
      <c r="G13050" t="n">
        <v>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22696-2025</t>
        </is>
      </c>
      <c r="B13051" s="1" t="n">
        <v>45789</v>
      </c>
      <c r="C13051" s="1" t="n">
        <v>45799</v>
      </c>
      <c r="D13051" t="inlineStr">
        <is>
          <t>JÖNKÖPINGS LÄN</t>
        </is>
      </c>
      <c r="E13051" t="inlineStr">
        <is>
          <t>JÖNKÖPING</t>
        </is>
      </c>
      <c r="G13051" t="n">
        <v>0.8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45799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22831-2025</t>
        </is>
      </c>
      <c r="B13053" s="1" t="n">
        <v>45789</v>
      </c>
      <c r="C13053" s="1" t="n">
        <v>45799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5.5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23073-2025</t>
        </is>
      </c>
      <c r="B13054" s="1" t="n">
        <v>45790</v>
      </c>
      <c r="C13054" s="1" t="n">
        <v>45799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0.8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22860-2025</t>
        </is>
      </c>
      <c r="B13055" s="1" t="n">
        <v>45790</v>
      </c>
      <c r="C13055" s="1" t="n">
        <v>45799</v>
      </c>
      <c r="D13055" t="inlineStr">
        <is>
          <t>JÖNKÖPINGS LÄN</t>
        </is>
      </c>
      <c r="E13055" t="inlineStr">
        <is>
          <t>GISLAVED</t>
        </is>
      </c>
      <c r="G13055" t="n">
        <v>2.7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22987-2025</t>
        </is>
      </c>
      <c r="B13056" s="1" t="n">
        <v>45790</v>
      </c>
      <c r="C13056" s="1" t="n">
        <v>45799</v>
      </c>
      <c r="D13056" t="inlineStr">
        <is>
          <t>JÖNKÖPINGS LÄN</t>
        </is>
      </c>
      <c r="E13056" t="inlineStr">
        <is>
          <t>EKSJÖ</t>
        </is>
      </c>
      <c r="G13056" t="n">
        <v>0.3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23071-2025</t>
        </is>
      </c>
      <c r="B13057" s="1" t="n">
        <v>45790</v>
      </c>
      <c r="C13057" s="1" t="n">
        <v>45799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23003-2025</t>
        </is>
      </c>
      <c r="B13058" s="1" t="n">
        <v>45790</v>
      </c>
      <c r="C13058" s="1" t="n">
        <v>45799</v>
      </c>
      <c r="D13058" t="inlineStr">
        <is>
          <t>JÖNKÖPINGS LÄN</t>
        </is>
      </c>
      <c r="E13058" t="inlineStr">
        <is>
          <t>VAGGERYD</t>
        </is>
      </c>
      <c r="G13058" t="n">
        <v>4.4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22878-2025</t>
        </is>
      </c>
      <c r="B13059" s="1" t="n">
        <v>45790</v>
      </c>
      <c r="C13059" s="1" t="n">
        <v>45799</v>
      </c>
      <c r="D13059" t="inlineStr">
        <is>
          <t>JÖNKÖPINGS LÄN</t>
        </is>
      </c>
      <c r="E13059" t="inlineStr">
        <is>
          <t>GISLAVED</t>
        </is>
      </c>
      <c r="G13059" t="n">
        <v>3.2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23063-2025</t>
        </is>
      </c>
      <c r="B13060" s="1" t="n">
        <v>45790</v>
      </c>
      <c r="C13060" s="1" t="n">
        <v>45799</v>
      </c>
      <c r="D13060" t="inlineStr">
        <is>
          <t>JÖNKÖPINGS LÄN</t>
        </is>
      </c>
      <c r="E13060" t="inlineStr">
        <is>
          <t>JÖNKÖPING</t>
        </is>
      </c>
      <c r="G13060" t="n">
        <v>1.4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22868-2025</t>
        </is>
      </c>
      <c r="B13061" s="1" t="n">
        <v>45790</v>
      </c>
      <c r="C13061" s="1" t="n">
        <v>45799</v>
      </c>
      <c r="D13061" t="inlineStr">
        <is>
          <t>JÖNKÖPINGS LÄN</t>
        </is>
      </c>
      <c r="E13061" t="inlineStr">
        <is>
          <t>GISLAVED</t>
        </is>
      </c>
      <c r="G13061" t="n">
        <v>1.7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22870-2025</t>
        </is>
      </c>
      <c r="B13062" s="1" t="n">
        <v>45790</v>
      </c>
      <c r="C13062" s="1" t="n">
        <v>45799</v>
      </c>
      <c r="D13062" t="inlineStr">
        <is>
          <t>JÖNKÖPINGS LÄN</t>
        </is>
      </c>
      <c r="E13062" t="inlineStr">
        <is>
          <t>GISLAVED</t>
        </is>
      </c>
      <c r="G13062" t="n">
        <v>6.4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22983-2025</t>
        </is>
      </c>
      <c r="B13063" s="1" t="n">
        <v>45790</v>
      </c>
      <c r="C13063" s="1" t="n">
        <v>45799</v>
      </c>
      <c r="D13063" t="inlineStr">
        <is>
          <t>JÖNKÖPINGS LÄN</t>
        </is>
      </c>
      <c r="E13063" t="inlineStr">
        <is>
          <t>VAGGERYD</t>
        </is>
      </c>
      <c r="G13063" t="n">
        <v>0.7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22994-2025</t>
        </is>
      </c>
      <c r="B13064" s="1" t="n">
        <v>45790</v>
      </c>
      <c r="C13064" s="1" t="n">
        <v>45799</v>
      </c>
      <c r="D13064" t="inlineStr">
        <is>
          <t>JÖNKÖPINGS LÄN</t>
        </is>
      </c>
      <c r="E13064" t="inlineStr">
        <is>
          <t>VÄRNAMO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22863-2025</t>
        </is>
      </c>
      <c r="B13065" s="1" t="n">
        <v>45790</v>
      </c>
      <c r="C13065" s="1" t="n">
        <v>45799</v>
      </c>
      <c r="D13065" t="inlineStr">
        <is>
          <t>JÖNKÖPINGS LÄN</t>
        </is>
      </c>
      <c r="E13065" t="inlineStr">
        <is>
          <t>GISLAVED</t>
        </is>
      </c>
      <c r="G13065" t="n">
        <v>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45799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22842-2025</t>
        </is>
      </c>
      <c r="B13067" s="1" t="n">
        <v>45790</v>
      </c>
      <c r="C13067" s="1" t="n">
        <v>45799</v>
      </c>
      <c r="D13067" t="inlineStr">
        <is>
          <t>JÖNKÖPINGS LÄN</t>
        </is>
      </c>
      <c r="E13067" t="inlineStr">
        <is>
          <t>HABO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23062-2025</t>
        </is>
      </c>
      <c r="B13068" s="1" t="n">
        <v>45790</v>
      </c>
      <c r="C13068" s="1" t="n">
        <v>45799</v>
      </c>
      <c r="D13068" t="inlineStr">
        <is>
          <t>JÖNKÖPINGS LÄN</t>
        </is>
      </c>
      <c r="E13068" t="inlineStr">
        <is>
          <t>JÖNKÖPING</t>
        </is>
      </c>
      <c r="G13068" t="n">
        <v>1.3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45799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23075-2025</t>
        </is>
      </c>
      <c r="B13070" s="1" t="n">
        <v>45790</v>
      </c>
      <c r="C13070" s="1" t="n">
        <v>45799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4.6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23395-2025</t>
        </is>
      </c>
      <c r="B13071" s="1" t="n">
        <v>45791</v>
      </c>
      <c r="C13071" s="1" t="n">
        <v>45799</v>
      </c>
      <c r="D13071" t="inlineStr">
        <is>
          <t>JÖNKÖPINGS LÄN</t>
        </is>
      </c>
      <c r="E13071" t="inlineStr">
        <is>
          <t>SÄVSJÖ</t>
        </is>
      </c>
      <c r="G13071" t="n">
        <v>6.8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23381-2025</t>
        </is>
      </c>
      <c r="B13072" s="1" t="n">
        <v>45791</v>
      </c>
      <c r="C13072" s="1" t="n">
        <v>45799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23386-2025</t>
        </is>
      </c>
      <c r="B13073" s="1" t="n">
        <v>45791</v>
      </c>
      <c r="C13073" s="1" t="n">
        <v>45799</v>
      </c>
      <c r="D13073" t="inlineStr">
        <is>
          <t>JÖNKÖPINGS LÄN</t>
        </is>
      </c>
      <c r="E13073" t="inlineStr">
        <is>
          <t>EKSJÖ</t>
        </is>
      </c>
      <c r="G13073" t="n">
        <v>1.1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23389-2025</t>
        </is>
      </c>
      <c r="B13074" s="1" t="n">
        <v>45791</v>
      </c>
      <c r="C13074" s="1" t="n">
        <v>45799</v>
      </c>
      <c r="D13074" t="inlineStr">
        <is>
          <t>JÖNKÖPINGS LÄN</t>
        </is>
      </c>
      <c r="E13074" t="inlineStr">
        <is>
          <t>JÖNKÖPING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23382-2025</t>
        </is>
      </c>
      <c r="B13075" s="1" t="n">
        <v>45791</v>
      </c>
      <c r="C13075" s="1" t="n">
        <v>45799</v>
      </c>
      <c r="D13075" t="inlineStr">
        <is>
          <t>JÖNKÖPINGS LÄN</t>
        </is>
      </c>
      <c r="E13075" t="inlineStr">
        <is>
          <t>NÄSSJÖ</t>
        </is>
      </c>
      <c r="G13075" t="n">
        <v>3.5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23293-2025</t>
        </is>
      </c>
      <c r="B13076" s="1" t="n">
        <v>45791</v>
      </c>
      <c r="C13076" s="1" t="n">
        <v>45799</v>
      </c>
      <c r="D13076" t="inlineStr">
        <is>
          <t>JÖNKÖPINGS LÄN</t>
        </is>
      </c>
      <c r="E13076" t="inlineStr">
        <is>
          <t>EKSJÖ</t>
        </is>
      </c>
      <c r="G13076" t="n">
        <v>3.7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23396-2025</t>
        </is>
      </c>
      <c r="B13077" s="1" t="n">
        <v>45791</v>
      </c>
      <c r="C13077" s="1" t="n">
        <v>45799</v>
      </c>
      <c r="D13077" t="inlineStr">
        <is>
          <t>JÖNKÖPINGS LÄN</t>
        </is>
      </c>
      <c r="E13077" t="inlineStr">
        <is>
          <t>SÄVSJÖ</t>
        </is>
      </c>
      <c r="G13077" t="n">
        <v>0.9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23388-2025</t>
        </is>
      </c>
      <c r="B13078" s="1" t="n">
        <v>45791</v>
      </c>
      <c r="C13078" s="1" t="n">
        <v>45799</v>
      </c>
      <c r="D13078" t="inlineStr">
        <is>
          <t>JÖNKÖPINGS LÄN</t>
        </is>
      </c>
      <c r="E13078" t="inlineStr">
        <is>
          <t>NÄSSJÖ</t>
        </is>
      </c>
      <c r="G13078" t="n">
        <v>10.4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45799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23113-2025</t>
        </is>
      </c>
      <c r="B13080" s="1" t="n">
        <v>45791</v>
      </c>
      <c r="C13080" s="1" t="n">
        <v>45799</v>
      </c>
      <c r="D13080" t="inlineStr">
        <is>
          <t>JÖNKÖPINGS LÄN</t>
        </is>
      </c>
      <c r="E13080" t="inlineStr">
        <is>
          <t>VETLANDA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23330-2025</t>
        </is>
      </c>
      <c r="B13081" s="1" t="n">
        <v>45791</v>
      </c>
      <c r="C13081" s="1" t="n">
        <v>45799</v>
      </c>
      <c r="D13081" t="inlineStr">
        <is>
          <t>JÖNKÖPINGS LÄN</t>
        </is>
      </c>
      <c r="E13081" t="inlineStr">
        <is>
          <t>VETLANDA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23306-2025</t>
        </is>
      </c>
      <c r="B13082" s="1" t="n">
        <v>45791</v>
      </c>
      <c r="C13082" s="1" t="n">
        <v>45799</v>
      </c>
      <c r="D13082" t="inlineStr">
        <is>
          <t>JÖNKÖPINGS LÄN</t>
        </is>
      </c>
      <c r="E13082" t="inlineStr">
        <is>
          <t>VETLANDA</t>
        </is>
      </c>
      <c r="G13082" t="n">
        <v>4.4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23138-2025</t>
        </is>
      </c>
      <c r="B13083" s="1" t="n">
        <v>45791</v>
      </c>
      <c r="C13083" s="1" t="n">
        <v>45799</v>
      </c>
      <c r="D13083" t="inlineStr">
        <is>
          <t>JÖNKÖPINGS LÄN</t>
        </is>
      </c>
      <c r="E13083" t="inlineStr">
        <is>
          <t>SÄVSJÖ</t>
        </is>
      </c>
      <c r="G13083" t="n">
        <v>1.1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23151-2025</t>
        </is>
      </c>
      <c r="B13084" s="1" t="n">
        <v>45791</v>
      </c>
      <c r="C13084" s="1" t="n">
        <v>45799</v>
      </c>
      <c r="D13084" t="inlineStr">
        <is>
          <t>JÖNKÖPINGS LÄN</t>
        </is>
      </c>
      <c r="E13084" t="inlineStr">
        <is>
          <t>SÄVSJÖ</t>
        </is>
      </c>
      <c r="G13084" t="n">
        <v>0.6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23379-2025</t>
        </is>
      </c>
      <c r="B13085" s="1" t="n">
        <v>45791</v>
      </c>
      <c r="C13085" s="1" t="n">
        <v>45799</v>
      </c>
      <c r="D13085" t="inlineStr">
        <is>
          <t>JÖNKÖPINGS LÄN</t>
        </is>
      </c>
      <c r="E13085" t="inlineStr">
        <is>
          <t>NÄSSJÖ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45799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23384-2025</t>
        </is>
      </c>
      <c r="B13087" s="1" t="n">
        <v>45791</v>
      </c>
      <c r="C13087" s="1" t="n">
        <v>45799</v>
      </c>
      <c r="D13087" t="inlineStr">
        <is>
          <t>JÖNKÖPINGS LÄN</t>
        </is>
      </c>
      <c r="E13087" t="inlineStr">
        <is>
          <t>NÄSSJÖ</t>
        </is>
      </c>
      <c r="G13087" t="n">
        <v>3.2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23385-2025</t>
        </is>
      </c>
      <c r="B13088" s="1" t="n">
        <v>45791</v>
      </c>
      <c r="C13088" s="1" t="n">
        <v>45799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23387-2025</t>
        </is>
      </c>
      <c r="B13089" s="1" t="n">
        <v>45791</v>
      </c>
      <c r="C13089" s="1" t="n">
        <v>45799</v>
      </c>
      <c r="D13089" t="inlineStr">
        <is>
          <t>JÖNKÖPINGS LÄN</t>
        </is>
      </c>
      <c r="E13089" t="inlineStr">
        <is>
          <t>EKSJÖ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23376-2025</t>
        </is>
      </c>
      <c r="B13090" s="1" t="n">
        <v>45791</v>
      </c>
      <c r="C13090" s="1" t="n">
        <v>45799</v>
      </c>
      <c r="D13090" t="inlineStr">
        <is>
          <t>JÖNKÖPINGS LÄN</t>
        </is>
      </c>
      <c r="E13090" t="inlineStr">
        <is>
          <t>NÄSSJÖ</t>
        </is>
      </c>
      <c r="G13090" t="n">
        <v>1.8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23377-2025</t>
        </is>
      </c>
      <c r="B13091" s="1" t="n">
        <v>45791</v>
      </c>
      <c r="C13091" s="1" t="n">
        <v>45799</v>
      </c>
      <c r="D13091" t="inlineStr">
        <is>
          <t>JÖNKÖPINGS LÄN</t>
        </is>
      </c>
      <c r="E13091" t="inlineStr">
        <is>
          <t>NÄSSJÖ</t>
        </is>
      </c>
      <c r="G13091" t="n">
        <v>1.2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23378-2025</t>
        </is>
      </c>
      <c r="B13092" s="1" t="n">
        <v>45791</v>
      </c>
      <c r="C13092" s="1" t="n">
        <v>45799</v>
      </c>
      <c r="D13092" t="inlineStr">
        <is>
          <t>JÖNKÖPINGS LÄN</t>
        </is>
      </c>
      <c r="E13092" t="inlineStr">
        <is>
          <t>NÄSSJÖ</t>
        </is>
      </c>
      <c r="G13092" t="n">
        <v>0.5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23598-2025</t>
        </is>
      </c>
      <c r="B13093" s="1" t="n">
        <v>45792</v>
      </c>
      <c r="C13093" s="1" t="n">
        <v>45799</v>
      </c>
      <c r="D13093" t="inlineStr">
        <is>
          <t>JÖNKÖPINGS LÄN</t>
        </is>
      </c>
      <c r="E13093" t="inlineStr">
        <is>
          <t>ANEBY</t>
        </is>
      </c>
      <c r="G13093" t="n">
        <v>1.9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23402-2025</t>
        </is>
      </c>
      <c r="B13094" s="1" t="n">
        <v>45792</v>
      </c>
      <c r="C13094" s="1" t="n">
        <v>45799</v>
      </c>
      <c r="D13094" t="inlineStr">
        <is>
          <t>JÖNKÖPINGS LÄN</t>
        </is>
      </c>
      <c r="E13094" t="inlineStr">
        <is>
          <t>GISLAVED</t>
        </is>
      </c>
      <c r="G13094" t="n">
        <v>0.8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23540-2025</t>
        </is>
      </c>
      <c r="B13095" s="1" t="n">
        <v>45792</v>
      </c>
      <c r="C13095" s="1" t="n">
        <v>45799</v>
      </c>
      <c r="D13095" t="inlineStr">
        <is>
          <t>JÖNKÖPINGS LÄN</t>
        </is>
      </c>
      <c r="E13095" t="inlineStr">
        <is>
          <t>VETLANDA</t>
        </is>
      </c>
      <c r="G13095" t="n">
        <v>6.2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23430-2025</t>
        </is>
      </c>
      <c r="B13096" s="1" t="n">
        <v>45792</v>
      </c>
      <c r="C13096" s="1" t="n">
        <v>45799</v>
      </c>
      <c r="D13096" t="inlineStr">
        <is>
          <t>JÖNKÖPINGS LÄN</t>
        </is>
      </c>
      <c r="E13096" t="inlineStr">
        <is>
          <t>VAGGERYD</t>
        </is>
      </c>
      <c r="G13096" t="n">
        <v>4.9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23581-2025</t>
        </is>
      </c>
      <c r="B13097" s="1" t="n">
        <v>45792</v>
      </c>
      <c r="C13097" s="1" t="n">
        <v>45799</v>
      </c>
      <c r="D13097" t="inlineStr">
        <is>
          <t>JÖNKÖPINGS LÄN</t>
        </is>
      </c>
      <c r="E13097" t="inlineStr">
        <is>
          <t>VETLANDA</t>
        </is>
      </c>
      <c r="G13097" t="n">
        <v>1.3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23664-2025</t>
        </is>
      </c>
      <c r="B13098" s="1" t="n">
        <v>45792</v>
      </c>
      <c r="C13098" s="1" t="n">
        <v>45799</v>
      </c>
      <c r="D13098" t="inlineStr">
        <is>
          <t>JÖNKÖPINGS LÄN</t>
        </is>
      </c>
      <c r="E13098" t="inlineStr">
        <is>
          <t>SÄVSJÖ</t>
        </is>
      </c>
      <c r="G13098" t="n">
        <v>7.3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23665-2025</t>
        </is>
      </c>
      <c r="B13099" s="1" t="n">
        <v>45792</v>
      </c>
      <c r="C13099" s="1" t="n">
        <v>45799</v>
      </c>
      <c r="D13099" t="inlineStr">
        <is>
          <t>JÖNKÖPINGS LÄN</t>
        </is>
      </c>
      <c r="E13099" t="inlineStr">
        <is>
          <t>SÄVSJÖ</t>
        </is>
      </c>
      <c r="G13099" t="n">
        <v>1.6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23403-2025</t>
        </is>
      </c>
      <c r="B13100" s="1" t="n">
        <v>45792</v>
      </c>
      <c r="C13100" s="1" t="n">
        <v>45799</v>
      </c>
      <c r="D13100" t="inlineStr">
        <is>
          <t>JÖNKÖPINGS LÄN</t>
        </is>
      </c>
      <c r="E13100" t="inlineStr">
        <is>
          <t>GISLAVED</t>
        </is>
      </c>
      <c r="G13100" t="n">
        <v>1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23408-2025</t>
        </is>
      </c>
      <c r="B13101" s="1" t="n">
        <v>45792</v>
      </c>
      <c r="C13101" s="1" t="n">
        <v>45799</v>
      </c>
      <c r="D13101" t="inlineStr">
        <is>
          <t>JÖNKÖPINGS LÄN</t>
        </is>
      </c>
      <c r="E13101" t="inlineStr">
        <is>
          <t>GISLAVED</t>
        </is>
      </c>
      <c r="G13101" t="n">
        <v>1.3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23660-2025</t>
        </is>
      </c>
      <c r="B13102" s="1" t="n">
        <v>45792</v>
      </c>
      <c r="C13102" s="1" t="n">
        <v>45799</v>
      </c>
      <c r="D13102" t="inlineStr">
        <is>
          <t>JÖNKÖPINGS LÄN</t>
        </is>
      </c>
      <c r="E13102" t="inlineStr">
        <is>
          <t>GISLAVED</t>
        </is>
      </c>
      <c r="G13102" t="n">
        <v>0.7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45799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45799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45799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45799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23681-2025</t>
        </is>
      </c>
      <c r="B13107" s="1" t="n">
        <v>45793</v>
      </c>
      <c r="C13107" s="1" t="n">
        <v>45799</v>
      </c>
      <c r="D13107" t="inlineStr">
        <is>
          <t>JÖNKÖPINGS LÄN</t>
        </is>
      </c>
      <c r="E13107" t="inlineStr">
        <is>
          <t>GISLAVED</t>
        </is>
      </c>
      <c r="G13107" t="n">
        <v>0.7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23896-2025</t>
        </is>
      </c>
      <c r="B13108" s="1" t="n">
        <v>45794</v>
      </c>
      <c r="C13108" s="1" t="n">
        <v>45799</v>
      </c>
      <c r="D13108" t="inlineStr">
        <is>
          <t>JÖNKÖPINGS LÄN</t>
        </is>
      </c>
      <c r="E13108" t="inlineStr">
        <is>
          <t>NÄSSJÖ</t>
        </is>
      </c>
      <c r="G13108" t="n">
        <v>0.5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23894-2025</t>
        </is>
      </c>
      <c r="B13109" s="1" t="n">
        <v>45794</v>
      </c>
      <c r="C13109" s="1" t="n">
        <v>45799</v>
      </c>
      <c r="D13109" t="inlineStr">
        <is>
          <t>JÖNKÖPINGS LÄN</t>
        </is>
      </c>
      <c r="E13109" t="inlineStr">
        <is>
          <t>NÄSSJÖ</t>
        </is>
      </c>
      <c r="G13109" t="n">
        <v>2.2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23925-2025</t>
        </is>
      </c>
      <c r="B13110" s="1" t="n">
        <v>45795</v>
      </c>
      <c r="C13110" s="1" t="n">
        <v>45799</v>
      </c>
      <c r="D13110" t="inlineStr">
        <is>
          <t>JÖNKÖPINGS LÄN</t>
        </is>
      </c>
      <c r="E13110" t="inlineStr">
        <is>
          <t>NÄSSJÖ</t>
        </is>
      </c>
      <c r="G13110" t="n">
        <v>4.3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23924-2025</t>
        </is>
      </c>
      <c r="B13111" s="1" t="n">
        <v>45795</v>
      </c>
      <c r="C13111" s="1" t="n">
        <v>45799</v>
      </c>
      <c r="D13111" t="inlineStr">
        <is>
          <t>JÖNKÖPINGS LÄN</t>
        </is>
      </c>
      <c r="E13111" t="inlineStr">
        <is>
          <t>NÄSSJÖ</t>
        </is>
      </c>
      <c r="G13111" t="n">
        <v>5.9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24100-2025</t>
        </is>
      </c>
      <c r="B13112" s="1" t="n">
        <v>45796</v>
      </c>
      <c r="C13112" s="1" t="n">
        <v>45799</v>
      </c>
      <c r="D13112" t="inlineStr">
        <is>
          <t>JÖNKÖPINGS LÄN</t>
        </is>
      </c>
      <c r="E13112" t="inlineStr">
        <is>
          <t>VÄRNAMO</t>
        </is>
      </c>
      <c r="G13112" t="n">
        <v>0.9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24106-2025</t>
        </is>
      </c>
      <c r="B13113" s="1" t="n">
        <v>45796</v>
      </c>
      <c r="C13113" s="1" t="n">
        <v>45799</v>
      </c>
      <c r="D13113" t="inlineStr">
        <is>
          <t>JÖNKÖPINGS LÄN</t>
        </is>
      </c>
      <c r="E13113" t="inlineStr">
        <is>
          <t>VAGGERYD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24113-2025</t>
        </is>
      </c>
      <c r="B13114" s="1" t="n">
        <v>45796</v>
      </c>
      <c r="C13114" s="1" t="n">
        <v>45799</v>
      </c>
      <c r="D13114" t="inlineStr">
        <is>
          <t>JÖNKÖPINGS LÄN</t>
        </is>
      </c>
      <c r="E13114" t="inlineStr">
        <is>
          <t>NÄSSJÖ</t>
        </is>
      </c>
      <c r="F13114" t="inlineStr">
        <is>
          <t>Kommuner</t>
        </is>
      </c>
      <c r="G13114" t="n">
        <v>0.8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23966-2025</t>
        </is>
      </c>
      <c r="B13115" s="1" t="n">
        <v>45796</v>
      </c>
      <c r="C13115" s="1" t="n">
        <v>45799</v>
      </c>
      <c r="D13115" t="inlineStr">
        <is>
          <t>JÖNKÖPINGS LÄN</t>
        </is>
      </c>
      <c r="E13115" t="inlineStr">
        <is>
          <t>ANEBY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23959-2025</t>
        </is>
      </c>
      <c r="B13116" s="1" t="n">
        <v>45796</v>
      </c>
      <c r="C13116" s="1" t="n">
        <v>45799</v>
      </c>
      <c r="D13116" t="inlineStr">
        <is>
          <t>JÖNKÖPINGS LÄN</t>
        </is>
      </c>
      <c r="E13116" t="inlineStr">
        <is>
          <t>VÄRNAMO</t>
        </is>
      </c>
      <c r="G13116" t="n">
        <v>1.2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23963-2025</t>
        </is>
      </c>
      <c r="B13117" s="1" t="n">
        <v>45796</v>
      </c>
      <c r="C13117" s="1" t="n">
        <v>45799</v>
      </c>
      <c r="D13117" t="inlineStr">
        <is>
          <t>JÖNKÖPINGS LÄN</t>
        </is>
      </c>
      <c r="E13117" t="inlineStr">
        <is>
          <t>SÄVSJÖ</t>
        </is>
      </c>
      <c r="G13117" t="n">
        <v>1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24004-2025</t>
        </is>
      </c>
      <c r="B13118" s="1" t="n">
        <v>45796</v>
      </c>
      <c r="C13118" s="1" t="n">
        <v>45799</v>
      </c>
      <c r="D13118" t="inlineStr">
        <is>
          <t>JÖNKÖPINGS LÄN</t>
        </is>
      </c>
      <c r="E13118" t="inlineStr">
        <is>
          <t>GISLAVED</t>
        </is>
      </c>
      <c r="G13118" t="n">
        <v>0.6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24005-2025</t>
        </is>
      </c>
      <c r="B13119" s="1" t="n">
        <v>45796</v>
      </c>
      <c r="C13119" s="1" t="n">
        <v>45799</v>
      </c>
      <c r="D13119" t="inlineStr">
        <is>
          <t>JÖNKÖPINGS LÄN</t>
        </is>
      </c>
      <c r="E13119" t="inlineStr">
        <is>
          <t>GISLAVED</t>
        </is>
      </c>
      <c r="G13119" t="n">
        <v>2.2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45799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24122-2025</t>
        </is>
      </c>
      <c r="B13121" s="1" t="n">
        <v>45796</v>
      </c>
      <c r="C13121" s="1" t="n">
        <v>45799</v>
      </c>
      <c r="D13121" t="inlineStr">
        <is>
          <t>JÖNKÖPINGS LÄN</t>
        </is>
      </c>
      <c r="E13121" t="inlineStr">
        <is>
          <t>GISLAVED</t>
        </is>
      </c>
      <c r="G13121" t="n">
        <v>1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45799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23981-2025</t>
        </is>
      </c>
      <c r="B13123" s="1" t="n">
        <v>45796</v>
      </c>
      <c r="C13123" s="1" t="n">
        <v>45799</v>
      </c>
      <c r="D13123" t="inlineStr">
        <is>
          <t>JÖNKÖPINGS LÄN</t>
        </is>
      </c>
      <c r="E13123" t="inlineStr">
        <is>
          <t>TRANÅS</t>
        </is>
      </c>
      <c r="G13123" t="n">
        <v>2.9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24439-2025</t>
        </is>
      </c>
      <c r="B13124" s="1" t="n">
        <v>45797</v>
      </c>
      <c r="C13124" s="1" t="n">
        <v>45799</v>
      </c>
      <c r="D13124" t="inlineStr">
        <is>
          <t>JÖNKÖPINGS LÄN</t>
        </is>
      </c>
      <c r="E13124" t="inlineStr">
        <is>
          <t>MULLSJÖ</t>
        </is>
      </c>
      <c r="G13124" t="n">
        <v>3.3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24440-2025</t>
        </is>
      </c>
      <c r="B13125" s="1" t="n">
        <v>45797</v>
      </c>
      <c r="C13125" s="1" t="n">
        <v>45799</v>
      </c>
      <c r="D13125" t="inlineStr">
        <is>
          <t>JÖNKÖPINGS LÄN</t>
        </is>
      </c>
      <c r="E13125" t="inlineStr">
        <is>
          <t>MULLSJÖ</t>
        </is>
      </c>
      <c r="G13125" t="n">
        <v>1.1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24362-2025</t>
        </is>
      </c>
      <c r="B13126" s="1" t="n">
        <v>45797</v>
      </c>
      <c r="C13126" s="1" t="n">
        <v>45799</v>
      </c>
      <c r="D13126" t="inlineStr">
        <is>
          <t>JÖNKÖPINGS LÄN</t>
        </is>
      </c>
      <c r="E13126" t="inlineStr">
        <is>
          <t>GISLAVED</t>
        </is>
      </c>
      <c r="G13126" t="n">
        <v>3.1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24329-2025</t>
        </is>
      </c>
      <c r="B13127" s="1" t="n">
        <v>45797</v>
      </c>
      <c r="C13127" s="1" t="n">
        <v>45799</v>
      </c>
      <c r="D13127" t="inlineStr">
        <is>
          <t>JÖNKÖPINGS LÄN</t>
        </is>
      </c>
      <c r="E13127" t="inlineStr">
        <is>
          <t>JÖNKÖPING</t>
        </is>
      </c>
      <c r="G13127" t="n">
        <v>2.6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24432-2025</t>
        </is>
      </c>
      <c r="B13128" s="1" t="n">
        <v>45797</v>
      </c>
      <c r="C13128" s="1" t="n">
        <v>45799</v>
      </c>
      <c r="D13128" t="inlineStr">
        <is>
          <t>JÖNKÖPINGS LÄN</t>
        </is>
      </c>
      <c r="E13128" t="inlineStr">
        <is>
          <t>HABO</t>
        </is>
      </c>
      <c r="G13128" t="n">
        <v>0.7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24413-2025</t>
        </is>
      </c>
      <c r="B13129" s="1" t="n">
        <v>45797</v>
      </c>
      <c r="C13129" s="1" t="n">
        <v>45799</v>
      </c>
      <c r="D13129" t="inlineStr">
        <is>
          <t>JÖNKÖPINGS LÄN</t>
        </is>
      </c>
      <c r="E13129" t="inlineStr">
        <is>
          <t>JÖNKÖPING</t>
        </is>
      </c>
      <c r="G13129" t="n">
        <v>2.3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45799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24618-2025</t>
        </is>
      </c>
      <c r="B13131" s="1" t="n">
        <v>45798</v>
      </c>
      <c r="C13131" s="1" t="n">
        <v>45799</v>
      </c>
      <c r="D13131" t="inlineStr">
        <is>
          <t>JÖNKÖPINGS LÄN</t>
        </is>
      </c>
      <c r="E13131" t="inlineStr">
        <is>
          <t>SÄVSJÖ</t>
        </is>
      </c>
      <c r="G13131" t="n">
        <v>3.3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24677-2025</t>
        </is>
      </c>
      <c r="B13132" s="1" t="n">
        <v>45798</v>
      </c>
      <c r="C13132" s="1" t="n">
        <v>45799</v>
      </c>
      <c r="D13132" t="inlineStr">
        <is>
          <t>JÖNKÖPINGS LÄN</t>
        </is>
      </c>
      <c r="E13132" t="inlineStr">
        <is>
          <t>EKSJÖ</t>
        </is>
      </c>
      <c r="G13132" t="n">
        <v>1.2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24709-2025</t>
        </is>
      </c>
      <c r="B13133" s="1" t="n">
        <v>45798</v>
      </c>
      <c r="C13133" s="1" t="n">
        <v>45799</v>
      </c>
      <c r="D13133" t="inlineStr">
        <is>
          <t>JÖNKÖPINGS LÄN</t>
        </is>
      </c>
      <c r="E13133" t="inlineStr">
        <is>
          <t>ANEBY</t>
        </is>
      </c>
      <c r="G13133" t="n">
        <v>1.6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24708-2025</t>
        </is>
      </c>
      <c r="B13134" s="1" t="n">
        <v>45798</v>
      </c>
      <c r="C13134" s="1" t="n">
        <v>45799</v>
      </c>
      <c r="D13134" t="inlineStr">
        <is>
          <t>JÖNKÖPINGS LÄN</t>
        </is>
      </c>
      <c r="E13134" t="inlineStr">
        <is>
          <t>ANEBY</t>
        </is>
      </c>
      <c r="G13134" t="n">
        <v>11.7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24500-2025</t>
        </is>
      </c>
      <c r="B13135" s="1" t="n">
        <v>45798</v>
      </c>
      <c r="C13135" s="1" t="n">
        <v>45799</v>
      </c>
      <c r="D13135" t="inlineStr">
        <is>
          <t>JÖNKÖPINGS LÄN</t>
        </is>
      </c>
      <c r="E13135" t="inlineStr">
        <is>
          <t>GNOSJÖ</t>
        </is>
      </c>
      <c r="G13135" t="n">
        <v>1.4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>
      <c r="A13136" t="inlineStr">
        <is>
          <t>A 24639-2025</t>
        </is>
      </c>
      <c r="B13136" s="1" t="n">
        <v>45798</v>
      </c>
      <c r="C13136" s="1" t="n">
        <v>45799</v>
      </c>
      <c r="D13136" t="inlineStr">
        <is>
          <t>JÖNKÖPINGS LÄN</t>
        </is>
      </c>
      <c r="E13136" t="inlineStr">
        <is>
          <t>VAGGERYD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2025-05-22T17:12:15Z</dcterms:created>
  <dcterms:modified xmlns:dcterms="http://purl.org/dc/terms/" xmlns:xsi="http://www.w3.org/2001/XMLSchema-instance" xsi:type="dcterms:W3CDTF">2025-05-22T17:12:26Z</dcterms:modified>
</cp:coreProperties>
</file>