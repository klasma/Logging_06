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45703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45703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45703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45703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45703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45703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45703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45703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45703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45703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45703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45703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45703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45703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45703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45703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45703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45703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45703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45703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45703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45703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45703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45703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45703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45703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45703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45703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45703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45703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45703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45703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45703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45703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45703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45703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45703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45703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45703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45703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45703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45703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45703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45703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45703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45703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45703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45703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45703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45703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45703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45703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45703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45703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45703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45703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45703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45703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45703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45703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45703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45703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45703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45703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45703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45703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45703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45703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45703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45703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45703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45703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45703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45703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45703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45703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45703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45703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45703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45703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45703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45703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45703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45703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45703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45703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45703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45703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45703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45703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45703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45703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45703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45703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45703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45703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45703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45703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45703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45703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45703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45703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45703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45703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45703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45703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45703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45703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45703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45703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45703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45703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45703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45703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45703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45703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45703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45703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45703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45703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45703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45703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45703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45703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45703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45703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45703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45703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45703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45703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45703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45703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45703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45703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45703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45703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45703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45703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45703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45703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45703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45703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45703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45703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45703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45703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45703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45703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45703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45703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45703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45703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45703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45703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45703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45703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45703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45703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45703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45703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45703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45703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45703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45703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45703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45703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45703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45703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45703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45703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45703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45703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3361-2025</t>
        </is>
      </c>
      <c r="B208" s="1" t="n">
        <v>45680</v>
      </c>
      <c r="C208" s="1" t="n">
        <v>45703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3361-2025 artfynd.xlsx", "A 3361-2025")</f>
        <v/>
      </c>
      <c r="T208">
        <f>HYPERLINK("https://klasma.github.io/Logging_0680/kartor/A 3361-2025 karta.png", "A 3361-2025")</f>
        <v/>
      </c>
      <c r="V208">
        <f>HYPERLINK("https://klasma.github.io/Logging_0680/klagomål/A 3361-2025 FSC-klagomål.docx", "A 3361-2025")</f>
        <v/>
      </c>
      <c r="W208">
        <f>HYPERLINK("https://klasma.github.io/Logging_0680/klagomålsmail/A 3361-2025 FSC-klagomål mail.docx", "A 3361-2025")</f>
        <v/>
      </c>
      <c r="X208">
        <f>HYPERLINK("https://klasma.github.io/Logging_0680/tillsyn/A 3361-2025 tillsynsbegäran.docx", "A 3361-2025")</f>
        <v/>
      </c>
      <c r="Y208">
        <f>HYPERLINK("https://klasma.github.io/Logging_0680/tillsynsmail/A 3361-2025 tillsynsbegäran mail.docx", "A 3361-2025")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45703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45703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45703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45703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45703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45703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45703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45703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45703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45703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45703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45703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45703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45703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45703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45703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45703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45703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45703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45703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45703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45703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45703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45703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45703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45703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45703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45703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45703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45703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45703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45703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45703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45703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45703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45703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45703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45703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45703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45703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45703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45703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45703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45703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45703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45703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45703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45703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45703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45703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45703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45703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45703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45703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45703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45703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45703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45703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45703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45703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45703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45703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45703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45703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45703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45703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45703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45703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45703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45703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45703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45703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45703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45703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45703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45703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45703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45703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45703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45703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45703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45703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45703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45703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45703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45703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45703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45703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45703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45703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45703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45703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45703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45703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45703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45703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45703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45703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45703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45703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45703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45703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45703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45703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45703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45703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45703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45703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45703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45703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45703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45703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45703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45703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45703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45703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45703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45703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45703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45703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45703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45703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45703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45703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45703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45703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45703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45703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45703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45703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45703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45703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45703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45703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45703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45703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45703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45703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45703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45703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45703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45703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45703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45703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45703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45703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45703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45703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45703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45703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45703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45703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45703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45703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45703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45703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45703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45703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45703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45703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45703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45703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45703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45703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45703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45703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45703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45703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45703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45703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45703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45703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45703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45703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45703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45703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45703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45703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45703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45703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45703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45703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45703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45703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45703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45703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45703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45703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45703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45703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45703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45703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45703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45703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45703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45703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45703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45703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45703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45703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45703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45703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45703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45703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45703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45703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45703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45703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45703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45703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45703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45703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45703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45703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45703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45703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45703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45703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45703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45703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45703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45703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45703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45703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45703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45703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45703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45703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45703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45703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45703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45703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45703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45703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45703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45703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45703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45703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45703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45703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45703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45703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45703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45703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45703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45703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45703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45703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45703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45703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45703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45703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45703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45703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45703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45703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45703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45703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45703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45703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45703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45703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45703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45703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45703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45703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45703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45703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45703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45703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45703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45703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45703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45703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45703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45703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45703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45703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45703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45703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45703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45703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45703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45703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45703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45703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45703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45703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45703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45703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45703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45703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45703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45703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45703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45703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45703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45703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45703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45703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45703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45703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45703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45703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45703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45703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45703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45703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45703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45703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45703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45703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45703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45703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45703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45703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45703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45703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45703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45703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45703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45703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45703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45703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45703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45703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45703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45703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45703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45703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45703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45703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45703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45703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45703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45703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45703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45703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45703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45703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45703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45703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45703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45703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45703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45703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45703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45703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45703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45703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45703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45703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45703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45703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45703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45703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45703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45703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45703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45703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45703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45703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45703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45703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45703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45703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45703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45703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45703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45703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45703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45703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45703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45703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45703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45703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45703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45703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45703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45703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45703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45703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45703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45703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45703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45703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45703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45703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45703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45703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45703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45703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45703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45703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45703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45703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45703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45703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45703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45703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45703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45703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45703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45703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45703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45703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45703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45703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45703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45703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45703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45703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45703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45703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45703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45703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45703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45703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45703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45703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45703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45703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45703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45703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45703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45703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45703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45703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45703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45703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45703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45703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45703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45703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45703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45703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45703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45703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45703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45703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45703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45703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45703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45703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45703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45703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45703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45703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45703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45703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45703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45703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45703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45703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45703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45703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45703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45703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45703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45703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45703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45703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45703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45703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45703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45703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45703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45703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45703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45703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45703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45703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45703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45703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45703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45703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45703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45703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45703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45703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45703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45703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45703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45703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45703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45703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45703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45703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45703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45703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45703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45703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45703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45703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45703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45703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45703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45703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45703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45703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45703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45703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45703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45703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45703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45703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45703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45703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45703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45703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45703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45703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45703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45703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45703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45703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45703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45703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45703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45703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45703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45703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45703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45703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45703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45703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45703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45703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45703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45703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45703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45703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45703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45703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45703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45703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45703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45703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45703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45703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45703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45703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45703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45703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45703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45703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45703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45703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45703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45703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45703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45703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45703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45703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45703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45703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45703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45703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45703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45703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45703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45703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45703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45703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45703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45703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45703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45703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45703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45703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45703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45703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45703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45703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45703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45703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45703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45703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45703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45703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45703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45703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45703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45703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45703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45703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45703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45703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45703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45703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45703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45703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45703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45703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45703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45703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45703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45703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45703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45703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45703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45703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45703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45703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45703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45703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45703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45703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45703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45703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45703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45703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45703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45703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45703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45703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45703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45703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45703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45703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45703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45703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45703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45703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45703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45703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45703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45703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45703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45703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45703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45703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45703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45703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45703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45703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45703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45703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45703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45703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45703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45703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45703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45703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45703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45703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45703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45703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45703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45703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45703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45703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45703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45703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45703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45703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45703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45703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45703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45703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45703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45703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45703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45703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45703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45703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45703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45703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45703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45703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45703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45703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45703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45703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45703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45703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45703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45703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45703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45703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45703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45703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45703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45703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45703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45703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45703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45703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45703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45703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45703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45703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45703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45703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45703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45703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45703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45703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45703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45703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45703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45703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45703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45703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45703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45703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45703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45703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45703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45703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45703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45703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45703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45703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45703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45703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45703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45703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45703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45703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45703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45703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45703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45703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45703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45703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45703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45703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45703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45703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45703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45703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45703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45703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45703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45703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45703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45703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45703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45703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45703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45703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45703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45703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45703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45703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45703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45703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45703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45703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45703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45703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45703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45703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45703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45703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45703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45703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45703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45703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45703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45703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45703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45703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45703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45703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45703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45703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45703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45703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45703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45703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45703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45703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45703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45703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45703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45703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45703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45703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45703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45703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45703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45703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45703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45703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45703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45703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45703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45703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45703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45703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45703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45703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45703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45703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45703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45703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45703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45703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45703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45703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45703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45703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45703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45703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45703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45703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45703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45703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45703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45703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45703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45703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45703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45703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45703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45703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45703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45703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45703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45703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45703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45703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45703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45703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45703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45703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45703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45703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45703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45703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45703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45703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45703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45703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45703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45703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45703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45703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45703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45703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45703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45703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45703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45703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45703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45703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45703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45703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45703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45703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45703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45703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45703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45703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45703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45703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45703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45703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45703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45703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45703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45703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45703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45703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45703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45703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45703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45703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45703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45703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45703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45703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45703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45703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45703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45703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45703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45703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45703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45703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45703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45703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45703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45703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45703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45703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45703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45703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45703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45703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45703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45703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45703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45703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45703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45703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45703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45703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45703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45703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45703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45703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45703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45703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45703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45703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45703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45703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45703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45703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45703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45703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45703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45703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45703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45703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45703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45703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45703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45703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45703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45703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45703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45703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45703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45703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45703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45703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45703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45703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45703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45703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45703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45703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45703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45703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45703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45703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45703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45703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45703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45703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45703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45703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45703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45703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45703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45703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45703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45703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45703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45703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45703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45703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45703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45703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45703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45703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45703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45703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45703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45703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45703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45703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45703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45703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45703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45703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45703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45703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45703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45703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45703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45703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45703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45703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45703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45703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45703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45703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45703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45703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45703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45703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45703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45703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45703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45703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45703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45703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45703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45703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45703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45703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45703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45703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45703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45703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45703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45703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45703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45703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45703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45703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45703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45703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45703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45703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45703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45703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45703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45703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45703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45703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45703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45703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45703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45703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45703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45703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45703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45703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45703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45703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45703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45703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45703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45703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45703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45703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45703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45703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45703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45703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45703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45703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45703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45703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45703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45703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45703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45703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45703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45703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45703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45703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45703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45703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45703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45703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45703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45703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45703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45703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45703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45703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45703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45703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45703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45703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45703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45703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45703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45703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45703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45703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45703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45703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45703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45703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45703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45703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45703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45703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45703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45703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45703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45703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45703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45703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45703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45703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45703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45703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45703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45703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45703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45703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45703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45703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45703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45703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45703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45703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45703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45703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45703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45703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45703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45703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45703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45703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45703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45703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45703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45703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45703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45703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45703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45703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45703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45703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45703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45703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45703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45703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45703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45703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45703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45703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45703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45703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45703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45703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45703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45703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45703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45703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45703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45703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45703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45703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45703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45703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45703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45703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45703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45703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45703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45703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45703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45703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45703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45703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45703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45703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45703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45703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45703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45703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45703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45703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45703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45703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45703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45703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45703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45703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45703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45703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45703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45703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45703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45703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45703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45703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45703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45703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45703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45703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45703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45703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45703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45703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45703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45703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45703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45703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45703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45703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45703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45703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45703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45703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45703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45703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45703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45703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45703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45703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45703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45703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45703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45703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45703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45703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45703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45703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45703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45703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45703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45703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45703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45703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45703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45703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45703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45703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45703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45703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45703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45703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45703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45703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45703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45703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45703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45703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45703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45703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45703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45703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45703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45703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45703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45703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45703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45703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45703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45703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45703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45703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45703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45703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45703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45703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45703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45703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45703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45703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45703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45703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45703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45703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45703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45703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45703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45703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45703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45703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45703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45703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45703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45703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45703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45703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45703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45703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45703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45703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45703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45703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45703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45703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45703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45703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45703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45703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45703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45703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45703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45703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45703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45703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45703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45703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45703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45703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45703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45703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45703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45703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45703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45703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45703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45703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45703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45703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45703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45703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45703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45703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45703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45703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45703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45703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45703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45703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45703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45703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45703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45703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45703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45703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45703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45703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45703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45703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45703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45703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45703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45703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45703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45703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45703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45703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45703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45703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45703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45703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45703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45703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45703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45703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45703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45703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45703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45703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45703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45703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45703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45703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45703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45703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45703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45703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45703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45703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45703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45703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45703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45703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45703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45703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45703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45703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45703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45703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45703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45703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45703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45703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45703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45703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45703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45703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45703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45703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45703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45703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45703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45703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45703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45703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45703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45703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45703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45703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45703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45703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45703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45703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45703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45703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45703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45703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45703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45703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45703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45703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45703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45703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45703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45703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45703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45703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45703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45703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45703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45703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45703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45703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45703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45703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45703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45703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45703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45703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45703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45703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45703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45703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45703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45703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45703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45703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45703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45703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45703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45703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45703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45703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45703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45703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45703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45703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45703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45703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45703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45703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45703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45703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45703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45703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45703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45703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45703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45703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45703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45703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45703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45703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45703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45703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45703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45703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45703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45703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45703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45703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45703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45703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45703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45703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45703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45703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45703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45703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45703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45703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45703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45703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45703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45703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45703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45703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45703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45703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45703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45703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45703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45703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45703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45703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45703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45703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45703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45703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45703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45703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45703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45703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45703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45703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45703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45703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45703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45703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45703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45703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45703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45703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45703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45703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45703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45703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45703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45703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45703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45703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45703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45703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45703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45703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45703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45703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45703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45703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45703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45703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45703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45703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45703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45703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45703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45703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45703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45703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45703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45703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45703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45703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45703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45703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45703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45703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45703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45703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45703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45703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45703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45703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45703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45703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45703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45703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45703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45703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45703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45703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45703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45703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45703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45703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45703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45703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45703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45703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45703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45703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45703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45703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45703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45703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45703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45703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45703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45703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45703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45703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45703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45703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45703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45703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45703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45703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45703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45703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45703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45703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45703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45703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45703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45703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45703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45703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45703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45703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45703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45703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45703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45703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45703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45703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45703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45703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45703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45703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45703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45703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45703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45703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45703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45703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45703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45703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45703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45703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45703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45703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45703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45703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45703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45703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45703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45703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45703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45703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45703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45703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45703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45703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45703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45703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45703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45703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45703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45703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45703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45703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45703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45703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45703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45703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45703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45703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45703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45703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45703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45703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45703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45703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45703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45703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45703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45703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45703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45703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45703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45703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45703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45703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45703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45703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45703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45703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45703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45703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45703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45703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45703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45703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45703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45703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45703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45703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45703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45703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45703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45703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45703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45703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45703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45703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45703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45703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45703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45703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45703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45703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45703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45703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45703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45703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45703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45703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45703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45703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45703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45703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45703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45703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45703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45703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45703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45703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45703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45703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45703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45703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45703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45703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45703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45703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45703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45703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45703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45703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45703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45703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45703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45703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45703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45703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45703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45703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45703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45703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45703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45703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45703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45703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45703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45703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45703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45703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45703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45703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45703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45703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45703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45703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45703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45703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45703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45703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45703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45703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45703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45703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45703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45703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45703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45703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45703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45703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45703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45703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45703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45703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45703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45703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45703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45703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45703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45703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45703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45703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45703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45703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45703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45703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45703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45703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45703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45703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45703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45703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45703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45703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45703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45703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45703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45703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45703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45703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45703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45703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45703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45703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45703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45703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45703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45703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45703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45703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45703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45703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45703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45703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45703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45703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45703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45703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45703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45703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45703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45703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45703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45703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45703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45703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45703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45703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45703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45703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45703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45703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45703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45703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45703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45703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45703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45703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45703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45703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45703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45703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45703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45703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45703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45703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45703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45703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45703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45703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45703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45703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45703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45703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45703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45703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45703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45703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45703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45703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45703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45703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45703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45703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45703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45703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45703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45703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45703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45703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45703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45703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45703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45703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45703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45703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45703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45703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45703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45703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45703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45703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45703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45703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45703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45703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45703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45703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45703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45703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45703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45703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45703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45703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45703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45703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45703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45703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45703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45703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45703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45703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45703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45703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45703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45703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45703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45703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45703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45703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45703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45703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45703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45703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45703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45703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45703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45703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45703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45703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45703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45703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45703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45703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45703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45703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45703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45703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45703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45703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45703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45703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45703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45703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45703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45703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45703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45703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45703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45703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45703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45703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45703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45703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45703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45703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45703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45703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45703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45703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45703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45703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45703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45703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45703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45703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45703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45703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45703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45703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45703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45703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45703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45703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45703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45703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45703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45703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45703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45703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45703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45703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45703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45703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45703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45703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45703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45703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45703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45703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45703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45703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45703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45703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45703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45703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45703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45703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45703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45703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45703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45703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45703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45703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45703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45703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45703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45703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45703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45703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45703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45703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45703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45703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45703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45703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45703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45703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45703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45703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45703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45703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45703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45703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45703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45703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45703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45703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45703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45703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45703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45703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45703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45703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45703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45703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45703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45703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45703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45703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45703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45703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45703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45703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45703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45703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45703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45703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45703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45703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45703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45703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45703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45703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45703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45703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45703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45703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45703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45703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45703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45703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45703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45703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45703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45703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45703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45703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45703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45703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45703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45703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45703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45703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45703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45703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45703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45703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45703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45703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45703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45703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45703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45703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45703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45703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45703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45703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45703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45703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45703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45703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45703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45703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45703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45703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45703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45703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45703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45703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45703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45703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45703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45703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45703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45703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45703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45703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45703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45703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45703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45703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45703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45703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45703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45703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45703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45703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45703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45703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45703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45703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45703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45703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45703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45703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45703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45703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45703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45703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45703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45703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45703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45703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45703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45703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45703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45703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45703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45703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45703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45703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45703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45703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45703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45703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45703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45703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45703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45703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45703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45703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45703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45703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45703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45703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45703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45703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45703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45703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45703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45703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45703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45703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45703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45703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45703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45703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45703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45703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45703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45703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45703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45703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45703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45703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45703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45703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45703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45703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45703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45703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45703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45703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45703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45703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45703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45703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45703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45703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45703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45703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45703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45703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45703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45703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45703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45703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45703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45703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45703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45703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45703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45703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45703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45703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45703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45703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45703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45703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45703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45703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45703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45703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45703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45703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45703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45703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45703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45703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45703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45703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45703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45703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45703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45703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45703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45703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45703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45703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45703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45703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45703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45703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45703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45703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45703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45703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45703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45703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45703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45703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45703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45703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45703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45703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45703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45703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45703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45703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45703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45703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45703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45703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45703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45703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45703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45703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45703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45703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45703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45703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45703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45703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45703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45703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45703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45703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45703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45703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45703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45703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45703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45703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45703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45703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45703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45703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45703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45703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45703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45703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45703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45703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45703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45703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45703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45703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45703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45703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45703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45703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45703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45703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45703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45703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45703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45703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45703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45703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45703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45703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45703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45703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45703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45703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45703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45703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45703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45703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45703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45703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45703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45703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45703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45703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45703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45703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45703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45703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45703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45703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45703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45703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45703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45703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45703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45703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45703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45703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45703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45703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45703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45703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45703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45703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45703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45703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45703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45703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45703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45703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45703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45703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45703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45703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45703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45703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45703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45703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45703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45703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45703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45703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45703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45703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45703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45703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45703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45703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45703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45703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45703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45703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45703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45703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45703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45703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45703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45703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45703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45703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45703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45703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45703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45703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45703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45703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45703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45703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45703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45703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45703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45703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45703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45703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45703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45703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45703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45703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45703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45703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45703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45703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45703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45703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45703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45703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45703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45703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45703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45703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45703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45703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45703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45703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45703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45703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45703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45703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45703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45703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45703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45703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45703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45703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45703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45703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45703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45703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45703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45703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45703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45703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45703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45703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45703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45703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45703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45703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45703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45703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45703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45703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45703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45703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45703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45703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45703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45703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45703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45703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45703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45703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45703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45703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45703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45703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45703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45703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45703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45703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45703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45703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45703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45703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45703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45703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45703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45703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45703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45703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45703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45703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45703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45703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45703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45703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45703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45703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45703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45703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45703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45703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45703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45703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45703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45703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45703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45703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45703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45703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45703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45703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45703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45703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45703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45703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45703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45703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45703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45703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45703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45703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45703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45703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45703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45703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45703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45703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45703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45703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45703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45703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45703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45703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45703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45703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45703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45703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45703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45703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45703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45703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45703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45703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45703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45703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45703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45703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45703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45703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45703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45703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45703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45703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45703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45703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45703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45703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45703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45703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45703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45703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45703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45703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45703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45703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45703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45703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45703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45703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45703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45703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45703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45703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45703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45703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45703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45703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45703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45703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45703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45703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45703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45703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45703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45703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45703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45703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45703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45703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45703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45703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45703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45703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45703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45703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45703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45703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45703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45703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45703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45703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45703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45703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45703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45703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45703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45703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45703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45703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45703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45703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45703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45703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45703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45703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45703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45703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45703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45703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45703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45703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45703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45703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45703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45703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45703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45703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45703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45703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45703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45703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45703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45703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45703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45703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45703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45703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45703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45703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45703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45703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45703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45703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45703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45703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45703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45703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45703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45703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45703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45703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45703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45703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45703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45703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45703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45703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45703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45703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45703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45703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45703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45703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45703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45703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45703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45703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45703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45703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45703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45703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45703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45703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45703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45703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45703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45703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45703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45703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45703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45703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45703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45703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45703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45703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45703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45703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45703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45703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45703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45703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45703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45703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45703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45703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45703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45703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45703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45703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45703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45703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45703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45703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45703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45703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45703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45703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45703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45703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45703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45703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45703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45703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45703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45703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45703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45703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45703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45703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45703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45703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45703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45703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45703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45703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45703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45703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45703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45703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45703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45703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45703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45703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45703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45703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45703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45703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45703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45703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45703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45703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45703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45703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45703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45703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45703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45703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45703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45703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45703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45703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45703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45703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45703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45703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45703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45703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45703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45703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45703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45703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45703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45703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45703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45703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45703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45703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45703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45703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45703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45703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45703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45703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45703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45703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45703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45703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45703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45703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45703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45703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45703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45703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45703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45703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45703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45703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45703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45703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45703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45703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45703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45703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45703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45703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45703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45703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45703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45703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45703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45703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45703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45703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45703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45703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45703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45703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45703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45703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45703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45703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45703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45703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45703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45703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45703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45703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45703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45703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45703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45703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45703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45703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45703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45703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45703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45703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45703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45703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45703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45703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45703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45703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45703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45703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45703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45703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45703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45703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45703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45703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45703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45703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45703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45703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45703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45703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45703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45703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45703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45703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45703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45703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45703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45703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45703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45703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45703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45703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45703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45703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45703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45703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45703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45703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45703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45703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45703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45703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45703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45703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45703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45703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45703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45703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45703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45703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45703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45703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45703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45703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45703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45703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45703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45703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45703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45703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45703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45703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45703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45703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45703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45703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45703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45703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45703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45703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45703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45703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45703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45703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45703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45703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45703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45703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45703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45703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45703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45703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45703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45703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45703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45703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45703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45703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45703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45703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45703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45703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45703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45703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45703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45703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45703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45703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45703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45703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45703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45703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45703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45703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45703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45703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45703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45703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45703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45703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45703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45703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45703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45703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45703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45703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45703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45703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45703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45703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45703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45703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45703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45703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45703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45703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45703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45703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45703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45703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45703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45703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45703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45703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45703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45703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45703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45703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45703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45703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45703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45703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45703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45703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45703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45703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45703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45703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45703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45703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45703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45703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45703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45703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45703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45703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45703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45703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45703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45703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45703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45703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45703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45703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45703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45703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45703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45703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45703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45703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45703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45703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45703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45703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45703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45703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45703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45703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45703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45703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45703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45703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45703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45703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45703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45703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45703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45703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45703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45703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45703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45703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45703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45703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45703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45703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45703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45703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45703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45703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45703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45703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45703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45703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45703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45703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45703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45703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45703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45703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45703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45703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45703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45703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45703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45703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45703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45703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45703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45703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45703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45703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45703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45703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45703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45703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45703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45703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45703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45703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45703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45703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45703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45703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45703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45703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45703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45703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45703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45703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45703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45703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45703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45703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45703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45703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45703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45703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45703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45703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45703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45703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45703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45703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45703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45703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45703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45703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45703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45703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45703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45703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45703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45703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45703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45703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45703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45703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45703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45703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45703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45703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45703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45703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45703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45703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45703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45703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45703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45703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45703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45703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45703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45703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45703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45703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45703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45703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45703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45703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45703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45703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45703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45703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45703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45703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45703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45703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45703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45703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45703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45703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45703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45703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45703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45703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45703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45703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45703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45703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45703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45703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45703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45703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45703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45703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45703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45703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45703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45703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45703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45703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45703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45703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45703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45703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45703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45703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45703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45703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45703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45703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45703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45703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45703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45703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45703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45703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45703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45703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45703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45703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45703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45703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45703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45703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45703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45703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45703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45703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45703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45703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45703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45703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45703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45703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45703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45703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45703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45703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45703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45703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45703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45703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45703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45703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45703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45703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45703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45703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45703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45703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45703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45703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45703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45703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45703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45703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45703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45703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45703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45703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45703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45703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45703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45703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45703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45703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45703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45703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45703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45703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45703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45703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45703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45703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45703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45703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45703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45703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45703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45703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45703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45703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45703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45703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45703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45703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45703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45703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45703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45703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45703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45703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45703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45703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45703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45703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45703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45703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45703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45703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45703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45703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45703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45703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45703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45703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45703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45703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45703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45703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45703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45703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45703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45703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45703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45703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45703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45703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45703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45703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45703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45703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45703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45703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45703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45703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45703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45703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45703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45703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45703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45703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45703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45703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45703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45703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45703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45703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45703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45703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45703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45703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45703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45703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45703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45703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45703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45703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45703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45703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45703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45703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45703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45703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45703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45703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45703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45703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45703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45703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45703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45703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45703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45703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45703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45703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45703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45703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45703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45703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45703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45703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45703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45703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45703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45703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45703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45703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45703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45703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45703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45703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45703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45703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45703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45703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45703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45703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45703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45703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45703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45703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45703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45703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45703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45703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45703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45703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45703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45703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45703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45703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45703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45703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45703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45703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45703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45703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45703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45703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45703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45703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45703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45703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45703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45703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45703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45703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45703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45703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45703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45703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45703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45703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45703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45703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45703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45703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45703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45703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45703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45703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45703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45703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45703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45703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45703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45703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45703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45703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45703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45703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45703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45703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45703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45703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45703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45703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45703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45703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45703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45703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45703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45703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45703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45703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45703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45703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45703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45703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45703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45703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45703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45703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45703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45703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45703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45703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45703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45703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45703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45703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45703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45703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45703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45703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45703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45703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45703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45703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45703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45703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45703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45703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45703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45703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45703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45703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45703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45703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45703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45703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45703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45703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45703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45703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45703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45703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45703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45703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45703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45703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45703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45703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45703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45703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45703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45703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45703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45703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45703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45703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45703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45703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45703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45703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45703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45703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45703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45703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45703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45703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45703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45703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45703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45703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45703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45703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45703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45703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45703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45703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45703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45703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45703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45703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45703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45703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45703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45703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45703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45703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45703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45703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45703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45703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45703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45703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45703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45703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45703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45703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45703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45703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45703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45703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45703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45703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45703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45703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45703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45703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45703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45703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45703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45703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45703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45703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45703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45703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45703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45703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45703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45703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45703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45703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45703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45703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45703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45703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45703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45703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45703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45703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45703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45703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45703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45703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45703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45703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45703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45703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45703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45703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45703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45703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45703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45703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45703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45703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45703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45703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45703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45703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45703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45703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45703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45703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45703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45703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45703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45703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45703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45703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45703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45703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45703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45703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45703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45703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45703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45703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45703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45703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45703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45703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45703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45703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45703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45703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45703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45703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45703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45703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45703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45703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45703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45703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45703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45703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45703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45703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45703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45703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45703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45703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45703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45703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45703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45703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45703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45703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45703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45703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45703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45703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45703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45703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45703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45703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45703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45703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45703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45703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45703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45703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45703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45703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45703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45703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45703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45703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45703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45703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45703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45703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45703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45703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45703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45703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45703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45703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45703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45703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45703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45703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45703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45703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45703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45703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45703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45703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45703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45703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45703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45703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45703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45703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45703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45703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45703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45703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45703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45703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45703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45703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45703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45703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45703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45703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45703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45703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45703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45703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45703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45703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45703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45703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45703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45703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45703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45703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45703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45703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45703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45703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45703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45703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45703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45703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45703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45703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45703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45703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45703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45703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45703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45703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45703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45703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45703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45703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45703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45703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45703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45703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45703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45703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45703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45703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45703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45703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45703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45703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45703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45703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45703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45703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45703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45703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45703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45703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45703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45703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45703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45703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45703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45703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45703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45703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45703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45703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45703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45703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45703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45703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45703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45703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45703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45703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45703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45703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45703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45703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45703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45703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45703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45703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45703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45703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45703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45703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45703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45703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45703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45703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45703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45703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45703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45703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45703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45703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45703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45703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45703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45703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45703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45703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45703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45703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45703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45703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45703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45703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45703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45703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45703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45703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45703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45703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45703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45703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45703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45703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45703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45703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45703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45703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45703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45703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45703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45703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45703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45703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45703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45703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45703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45703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45703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45703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45703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45703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45703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45703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45703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45703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45703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45703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45703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45703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45703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45703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45703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45703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45703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45703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45703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45703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45703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45703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45703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45703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45703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45703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45703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45703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45703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45703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45703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45703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45703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45703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45703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45703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45703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45703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45703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45703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45703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45703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45703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45703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45703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45703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45703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45703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45703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45703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45703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45703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45703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45703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45703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45703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45703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45703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45703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45703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45703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45703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45703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45703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45703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45703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45703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45703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45703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45703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45703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45703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45703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45703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45703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45703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45703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45703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45703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45703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45703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45703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45703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45703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45703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45703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45703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45703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45703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45703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45703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45703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45703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45703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45703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45703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45703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45703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45703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45703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45703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45703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45703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45703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45703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45703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45703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45703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45703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45703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45703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45703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45703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45703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45703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45703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45703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45703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45703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45703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45703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45703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45703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45703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45703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45703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45703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45703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45703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45703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45703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45703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45703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45703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45703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45703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45703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45703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45703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45703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45703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45703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45703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45703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45703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45703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45703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45703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45703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45703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45703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45703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45703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45703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45703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45703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45703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45703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45703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45703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45703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45703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45703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45703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45703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45703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45703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45703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45703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45703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45703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45703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45703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45703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45703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45703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45703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45703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45703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45703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45703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45703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45703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45703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45703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45703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45703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45703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45703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45703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45703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45703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45703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45703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45703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45703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45703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45703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45703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45703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45703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45703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45703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45703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45703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45703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45703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45703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45703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45703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45703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45703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45703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45703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45703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45703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45703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45703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45703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45703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45703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45703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45703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45703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45703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45703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45703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45703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45703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45703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45703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45703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45703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45703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45703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45703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45703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45703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45703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45703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45703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45703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45703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45703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45703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45703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45703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45703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45703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45703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45703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45703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45703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45703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45703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45703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45703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45703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45703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45703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45703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45703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45703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45703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45703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45703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45703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45703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45703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45703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45703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45703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45703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45703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45703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45703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45703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45703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45703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45703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45703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45703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45703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45703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45703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45703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45703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45703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45703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45703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45703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45703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45703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45703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45703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45703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45703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45703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45703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45703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45703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45703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45703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45703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45703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45703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45703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45703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45703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45703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45703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45703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45703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45703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45703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45703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45703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45703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45703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45703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45703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45703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45703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45703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45703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45703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45703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45703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45703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45703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45703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45703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45703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45703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45703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45703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45703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45703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45703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45703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45703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45703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45703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45703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45703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45703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45703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45703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45703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45703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45703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45703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45703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45703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45703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45703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45703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45703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45703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45703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45703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45703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45703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45703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45703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45703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45703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45703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45703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45703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45703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45703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45703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45703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45703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45703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45703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45703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45703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45703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45703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45703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45703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45703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45703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45703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45703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45703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45703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45703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45703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45703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45703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45703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45703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45703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45703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45703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45703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45703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45703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45703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45703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45703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45703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45703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45703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45703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45703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45703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45703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45703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45703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45703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45703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45703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45703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45703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45703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45703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45703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45703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45703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45703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45703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45703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45703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45703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45703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45703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45703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45703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45703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45703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45703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45703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45703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45703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45703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45703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45703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45703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45703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45703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45703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45703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45703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45703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45703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45703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45703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45703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45703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45703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45703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45703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45703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45703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45703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45703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45703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45703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45703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45703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45703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45703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45703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45703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45703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45703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45703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45703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45703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45703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45703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45703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45703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45703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45703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45703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45703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45703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45703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45703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45703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45703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45703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45703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45703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45703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45703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45703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45703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45703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45703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45703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45703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45703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45703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45703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45703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45703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45703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45703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45703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45703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45703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45703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45703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45703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45703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45703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45703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45703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45703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45703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45703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45703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45703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45703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45703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45703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45703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45703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45703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45703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45703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45703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45703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45703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45703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45703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45703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45703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45703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45703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45703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45703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45703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45703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45703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45703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45703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45703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45703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45703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45703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45703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45703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45703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45703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45703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45703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45703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45703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45703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45703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45703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45703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45703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45703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45703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45703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45703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45703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45703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45703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45703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45703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45703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45703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45703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45703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45703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45703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45703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45703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45703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45703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45703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45703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45703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45703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45703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45703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45703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45703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45703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45703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45703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45703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45703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45703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45703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45703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45703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45703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45703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45703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45703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45703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45703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45703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45703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45703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45703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45703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45703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45703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45703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45703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45703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45703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45703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45703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45703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45703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45703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45703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45703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45703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45703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45703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45703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45703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45703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45703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45703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45703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45703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45703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45703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45703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45703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45703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45703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45703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45703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45703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45703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45703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45703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45703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45703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45703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45703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45703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45703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45703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45703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45703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45703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45703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45703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45703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45703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45703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45703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45703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45703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45703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45703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45703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45703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45703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45703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45703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45703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45703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45703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45703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45703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45703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45703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45703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45703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45703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45703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45703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45703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45703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45703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45703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45703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45703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45703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45703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45703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45703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45703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45703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45703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45703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45703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45703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45703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45703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45703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45703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45703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45703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45703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45703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45703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45703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45703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45703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45703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45703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45703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45703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45703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45703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45703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45703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45703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45703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45703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45703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45703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45703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45703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45703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45703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45703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45703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45703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45703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45703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45703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45703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45703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45703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45703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45703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45703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45703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45703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45703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45703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45703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45703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45703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45703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45703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45703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45703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45703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45703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45703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45703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45703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45703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45703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45703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45703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45703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45703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45703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45703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45703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45703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45703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45703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45703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45703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45703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45703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45703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45703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45703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45703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45703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45703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45703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45703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45703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45703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45703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45703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45703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45703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45703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45703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45703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45703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45703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45703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45703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45703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45703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45703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45703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45703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45703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45703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45703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45703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45703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45703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45703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45703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45703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45703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45703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45703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45703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45703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45703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45703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45703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45703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45703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45703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45703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45703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45703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45703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45703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45703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45703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45703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45703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45703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45703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45703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45703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45703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45703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45703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45703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45703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45703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45703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45703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45703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45703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45703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45703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45703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45703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45703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45703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45703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45703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45703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45703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45703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45703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45703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45703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45703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45703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45703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45703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45703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45703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45703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45703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45703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45703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45703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45703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45703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45703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45703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45703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45703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45703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45703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45703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45703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45703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45703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45703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45703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45703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45703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45703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45703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45703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45703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45703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45703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45703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45703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45703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45703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45703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45703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45703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45703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45703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45703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45703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45703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45703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45703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45703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45703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45703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45703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45703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45703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45703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45703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45703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45703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45703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45703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45703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45703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45703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45703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45703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45703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45703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45703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45703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45703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45703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45703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45703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45703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45703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45703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45703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45703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45703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45703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45703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45703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45703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45703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45703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45703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45703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45703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45703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45703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45703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45703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45703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45703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45703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45703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45703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45703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45703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45703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45703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45703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45703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45703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45703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45703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45703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45703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45703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45703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45703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45703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45703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45703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45703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45703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45703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45703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45703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45703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45703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45703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45703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45703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45703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45703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45703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45703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45703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45703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45703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45703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45703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45703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45703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45703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45703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45703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45703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45703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45703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45703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45703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45703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45703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45703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45703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45703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45703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45703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45703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45703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45703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45703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45703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45703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45703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45703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45703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45703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45703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45703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45703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45703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45703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45703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45703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45703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45703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45703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45703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45703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45703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45703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45703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45703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45703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45703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45703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45703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45703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45703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45703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45703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45703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45703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45703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45703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45703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45703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45703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45703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45703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45703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45703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45703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45703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45703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45703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45703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45703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45703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45703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45703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45703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45703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45703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45703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45703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45703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45703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45703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45703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45703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45703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45703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45703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45703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45703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45703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45703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45703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45703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45703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45703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45703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45703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45703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45703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45703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45703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45703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45703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45703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45703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45703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45703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45703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45703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45703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45703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45703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45703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45703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45703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45703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45703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45703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45703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45703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45703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45703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45703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45703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45703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45703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45703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45703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45703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45703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45703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45703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45703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45703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45703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45703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45703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45703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45703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45703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45703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45703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45703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45703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45703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45703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45703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45703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45703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45703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45703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45703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45703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45703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45703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45703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45703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45703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45703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45703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45703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45703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45703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45703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45703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45703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45703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45703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45703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45703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45703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45703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45703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45703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45703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45703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45703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45703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45703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45703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45703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45703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45703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45703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45703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45703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45703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45703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45703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45703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45703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45703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45703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45703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45703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45703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45703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45703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45703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45703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45703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45703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45703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45703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45703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45703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45703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45703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45703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45703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45703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45703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45703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45703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45703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45703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45703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45703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45703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45703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45703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45703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45703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45703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45703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45703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45703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45703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45703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45703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45703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45703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45703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45703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45703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45703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45703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45703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45703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45703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45703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45703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45703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45703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45703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45703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45703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45703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45703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45703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45703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45703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45703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45703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45703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45703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45703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45703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45703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45703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45703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45703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45703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45703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45703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45703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45703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45703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45703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45703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45703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45703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45703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45703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45703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45703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45703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45703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45703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45703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45703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45703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45703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45703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45703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45703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45703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45703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45703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45703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45703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45703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45703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45703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45703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45703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45703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45703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45703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45703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45703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45703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45703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45703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45703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45703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45703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45703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45703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45703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45703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45703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45703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45703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45703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45703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45703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45703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45703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45703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45703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45703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45703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45703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45703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45703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45703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45703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45703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45703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45703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45703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45703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45703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45703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45703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45703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45703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45703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45703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45703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45703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45703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45703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45703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45703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45703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45703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45703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45703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45703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45703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45703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45703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45703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45703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45703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45703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45703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45703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45703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45703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45703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45703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45703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45703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45703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45703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45703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45703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45703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45703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45703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45703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45703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45703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45703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45703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45703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45703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45703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45703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45703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45703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45703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45703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45703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45703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45703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45703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45703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45703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45703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45703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45703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45703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45703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45703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45703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45703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45703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45703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45703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45703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45703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45703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45703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45703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45703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45703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45703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45703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45703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45703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45703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45703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45703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45703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45703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45703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45703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45703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45703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45703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45703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45703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45703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45703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45703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45703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45703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45703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45703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45703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45703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45703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45703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45703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45703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45703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45703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45703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45703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45703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45703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45703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45703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45703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45703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45703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45703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45703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45703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45703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45703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45703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45703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45703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45703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45703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45703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45703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45703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45703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45703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45703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45703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45703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45703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45703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45703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45703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45703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45703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45703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45703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45703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45703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45703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45703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45703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45703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45703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45703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45703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45703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45703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45703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45703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45703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45703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45703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45703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45703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45703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45703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45703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45703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45703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45703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45703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45703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45703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45703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45703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45703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45703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45703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45703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45703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45703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45703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45703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45703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45703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45703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45703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45703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45703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45703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45703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45703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45703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45703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45703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45703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45703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45703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45703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45703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45703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45703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45703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45703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45703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45703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45703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45703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45703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45703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45703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45703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45703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45703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45703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45703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45703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45703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45703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45703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45703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45703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45703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45703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45703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45703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45703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45703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45703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45703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45703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45703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45703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45703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45703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45703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45703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45703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45703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45703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45703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45703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45703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45703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45703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45703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45703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45703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45703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45703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45703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45703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45703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45703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45703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45703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45703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45703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45703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45703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45703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45703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45703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45703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45703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45703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45703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45703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45703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45703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45703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45703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45703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45703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45703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45703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45703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45703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45703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45703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45703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45703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45703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45703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45703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45703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45703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45703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45703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45703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45703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45703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45703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45703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45703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45703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45703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45703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45703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45703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45703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45703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45703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45703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45703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45703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45703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45703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45703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45703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45703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45703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45703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45703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45703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45703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45703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45703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45703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45703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45703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45703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45703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45703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45703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45703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45703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45703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45703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45703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45703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45703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45703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45703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45703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45703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45703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45703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45703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45703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45703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45703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45703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45703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45703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45703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45703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45703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45703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45703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45703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45703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45703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45703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45703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45703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45703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45703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45703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45703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45703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45703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45703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45703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45703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45703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45703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45703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45703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45703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45703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45703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45703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45703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45703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45703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45703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45703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45703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45703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45703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45703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45703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45703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45703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45703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45703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45703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45703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45703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45703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45703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45703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45703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45703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45703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45703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45703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45703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45703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45703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45703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45703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45703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45703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45703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45703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45703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45703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45703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45703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45703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45703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45703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45703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45703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45703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45703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45703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45703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45703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45703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45703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45703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45703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45703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45703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45703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45703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45703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45703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45703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45703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45703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45703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45703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45703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45703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45703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45703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45703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45703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45703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45703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45703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45703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45703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45703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45703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45703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45703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45703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45703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45703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45703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45703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45703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45703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45703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45703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45703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45703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45703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45703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45703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45703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45703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45703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45703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45703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45703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45703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45703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45703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45703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45703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45703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45703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45703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45703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45703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45703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45703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45703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45703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45703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45703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45703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45703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45703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45703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45703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45703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45703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45703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45703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45703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45703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45703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45703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45703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45703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45703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45703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45703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45703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45703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45703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45703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45703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45703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45703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45703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45703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45703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45703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45703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45703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45703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45703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45703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45703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45703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45703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45703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45703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45703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45703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45703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45703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45703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45703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45703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45703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45703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45703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45703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45703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45703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45703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45703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45703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45703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45703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45703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45703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45703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45703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45703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45703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45703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45703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45703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45703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45703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45703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45703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45703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45703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45703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45703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45703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45703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45703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45703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45703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45703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45703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45703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45703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45703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45703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45703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45703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45703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45703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45703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45703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45703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45703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45703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45703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45703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45703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45703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45703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45703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45703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45703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45703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45703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45703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45703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45703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45703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45703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45703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45703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45703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45703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45703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45703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45703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45703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45703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45703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45703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45703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45703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45703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45703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45703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45703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45703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45703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45703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45703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45703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45703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45703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45703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45703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45703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45703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45703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45703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45703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45703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45703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45703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45703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45703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45703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45703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45703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45703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45703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45703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45703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45703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45703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45703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45703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45703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45703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45703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45703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45703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45703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45703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45703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45703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45703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45703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45703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45703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45703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45703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45703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45703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45703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45703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45703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45703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45703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45703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45703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45703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45703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45703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45703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45703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45703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45703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45703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45703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45703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45703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45703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45703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45703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45703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45703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45703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45703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45703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45703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45703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45703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45703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45703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45703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45703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45703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45703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45703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45703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45703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45703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45703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45703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45703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45703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45703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45703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45703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45703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45703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45703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45703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45703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45703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45703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45703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45703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45703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45703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45703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45703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45703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45703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45703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45703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45703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45703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45703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45703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45703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45703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45703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45703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45703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45703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45703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45703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45703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45703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45703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45703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45703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45703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45703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45703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45703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45703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45703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45703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45703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45703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45703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45703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45703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45703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45703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45703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45703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45703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45703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45703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45703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45703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45703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45703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45703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45703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45703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45703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45703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45703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45703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45703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45703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45703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45703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45703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45703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45703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45703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45703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45703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45703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45703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45703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45703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45703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45703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45703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45703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45703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45703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45703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45703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45703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45703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45703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45703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45703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45703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45703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45703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45703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45703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45703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45703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45703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45703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45703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45703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45703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45703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45703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45703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45703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45703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45703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45703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45703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45703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45703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45703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45703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45703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45703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45703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45703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45703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45703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45703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45703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45703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45703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45703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45703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45703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45703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45703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45703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45703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45703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45703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45703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45703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45703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45703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45703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45703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45703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45703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45703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45703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45703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45703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45703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45703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45703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45703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45703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45703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45703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45703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45703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45703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45703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45703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45703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45703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45703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45703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45703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45703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45703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45703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45703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45703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45703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45703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45703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45703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45703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45703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45703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45703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45703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45703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45703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45703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45703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45703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45703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45703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45703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45703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45703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45703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45703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45703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45703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45703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45703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45703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45703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45703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45703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45703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45703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45703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45703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45703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45703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45703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45703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45703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45703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45703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45703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45703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45703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45703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45703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45703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45703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45703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45703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45703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45703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45703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45703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45703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45703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45703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45703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45703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45703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45703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45703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45703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45703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45703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45703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45703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45703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45703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45703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45703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45703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45703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45703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45703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45703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45703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45703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45703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45703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45703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45703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45703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45703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45703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45703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45703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45703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45703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45703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45703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45703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45703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45703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45703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45703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45703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45703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45703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45703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45703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45703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45703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45703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45703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45703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45703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45703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45703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45703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45703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45703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45703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45703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45703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45703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45703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45703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45703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45703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45703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45703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45703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45703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45703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45703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45703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45703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45703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45703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45703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45703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45703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45703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45703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45703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45703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45703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45703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45703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45703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45703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45703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45703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45703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45703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45703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45703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45703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45703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45703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45703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45703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45703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45703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45703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45703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45703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45703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45703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45703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45703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45703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45703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45703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45703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45703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45703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45703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45703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45703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45703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45703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45703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45703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45703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45703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45703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45703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45703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45703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45703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45703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45703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45703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45703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45703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45703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45703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45703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45703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45703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45703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45703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45703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45703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45703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45703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45703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45703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45703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45703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45703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45703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45703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45703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45703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45703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45703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45703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45703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45703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45703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45703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45703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45703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45703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45703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45703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45703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45703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45703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45703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45703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45703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45703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45703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45703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45703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45703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45703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45703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45703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45703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45703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45703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45703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45703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45703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45703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45703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45703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45703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45703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45703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45703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45703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45703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45703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45703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45703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45703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45703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45703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45703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45703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45703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45703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45703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45703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45703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45703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45703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45703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45703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45703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45703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45703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45703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45703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45703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45703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45703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45703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45703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45703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45703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45703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45703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45703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45703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45703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45703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45703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45703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45703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45703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45703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45703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45703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45703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45703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45703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45703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45703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45703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45703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45703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45703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45703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45703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45703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45703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45703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45703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45703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45703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45703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45703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45703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45703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45703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45703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45703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45703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45703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45703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45703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45703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45703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45703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45703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45703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45703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45703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45703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45703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45703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45703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45703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45703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45703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45703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45703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45703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45703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45703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45703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45703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45703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45703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45703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45703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45703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45703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45703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45703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45703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45703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45703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45703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45703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45703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45703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45703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45703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45703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45703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45703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45703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45703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45703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45703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45703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45703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45703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45703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45703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45703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45703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45703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45703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45703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45703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45703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45703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45703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45703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45703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45703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45703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45703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45703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45703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45703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45703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45703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45703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45703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45703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45703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45703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45703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45703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45703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45703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45703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45703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45703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45703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45703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45703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45703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45703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45703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45703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45703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45703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45703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45703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45703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45703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45703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45703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45703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45703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45703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45703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45703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45703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45703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45703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45703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45703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45703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45703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45703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45703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45703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45703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45703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45703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45703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45703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45703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45703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45703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45703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45703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45703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45703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45703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45703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45703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45703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45703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45703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45703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45703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45703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45703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45703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45703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45703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45703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45703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45703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45703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45703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45703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45703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45703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45703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45703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45703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45703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45703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45703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45703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45703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45703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45703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45703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45703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45703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45703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45703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45703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45703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45703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45703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45703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45703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45703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45703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45703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45703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45703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45703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45703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45703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45703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45703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45703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45703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45703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45703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45703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45703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45703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45703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45703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45703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45703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45703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45703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45703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45703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45703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45703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45703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45703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45703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45703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45703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45703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45703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45703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45703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45703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45703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45703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45703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45703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45703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45703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45703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45703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45703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45703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45703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45703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45703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45703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45703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45703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45703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45703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45703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45703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45703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45703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45703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45703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45703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45703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45703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45703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45703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45703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45703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45703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45703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45703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45703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45703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45703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45703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45703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45703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45703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45703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45703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45703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45703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45703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45703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45703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45703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45703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45703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45703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45703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45703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45703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45703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45703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45703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45703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45703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45703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45703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45703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45703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45703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45703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45703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45703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45703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45703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45703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45703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45703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45703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45703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45703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45703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45703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45703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45703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45703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45703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45703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45703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45703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45703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45703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45703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45703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45703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45703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45703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45703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45703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45703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45703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45703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45703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45703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45703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45703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45703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45703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45703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45703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45703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45703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45703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45703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45703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45703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45703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45703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45703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45703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45703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45703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45703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45703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45703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45703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45703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45703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45703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45703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45703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45703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45703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45703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45703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45703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45703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45703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45703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45703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45703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45703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45703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45703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45703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45703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45703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45703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45703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45703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45703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45703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45703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45703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45703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45703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45703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45703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45703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45703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45703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45703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45703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45703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45703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45703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45703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45703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45703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45703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45703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45703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45703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45703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45703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45703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45703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45703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45703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45703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45703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45703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45703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45703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45703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45703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45703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45703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45703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45703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45703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45703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45703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45703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45703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45703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45703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45703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45703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45703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45703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45703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45703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45703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45703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45703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45703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45703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45703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45703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45703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45703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45703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45703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45703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45703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45703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45703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45703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45703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45703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45703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45703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45703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45703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45703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45703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45703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45703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45703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45703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45703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45703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45703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45703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45703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45703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45703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45703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45703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45703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45703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45703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45703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45703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45703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45703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45703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45703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45703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45703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45703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45703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45703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45703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45703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45703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45703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45703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45703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45703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45703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45703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45703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45703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45703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45703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45703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45703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45703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45703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45703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45703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45703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45703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45703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45703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45703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45703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45703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45703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45703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45703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45703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45703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45703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45703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45703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45703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45703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45703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45703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45703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45703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45703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45703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45703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45703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45703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45703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45703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45703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45703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45703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45703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45703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45703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45703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45703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45703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45703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45703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45703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45703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45703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45703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45703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45703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45703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45703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45703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45703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45703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45703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45703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45703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45703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45703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45703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45703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45703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45703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45703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45703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45703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45703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45703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45703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45703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45703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45703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45703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45703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45703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45703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45703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45703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45703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45703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45703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45703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45703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45703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45703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45703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45703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45703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45703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45703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45703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45703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45703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45703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45703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45703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45703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45703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45703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45703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45703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45703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45703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45703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45703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45703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45703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45703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45703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45703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45703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45703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45703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45703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45703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45703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45703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45703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45703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45703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45703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45703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45703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45703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45703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45703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45703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45703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45703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45703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45703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45703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45703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45703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45703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45703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45703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45703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45703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45703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45703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45703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45703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45703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45703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45703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45703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45703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45703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45703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45703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45703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45703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45703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45703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45703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45703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45703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45703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45703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45703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45703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45703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45703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45703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45703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45703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45703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45703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45703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45703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45703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45703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45703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45703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45703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45703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45703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45703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45703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45703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45703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45703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45703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45703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45703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45703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45703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45703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45703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45703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45703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45703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45703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45703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45703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45703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45703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45703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45703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45703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45703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45703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45703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45703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45703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45703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45703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45703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45703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45703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45703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45703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45703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45703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45703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45703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45703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45703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45703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45703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45703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45703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45703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45703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45703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45703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45703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45703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45703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45703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45703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45703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45703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45703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45703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45703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45703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45703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45703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45703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45703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45703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45703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45703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45703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45703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45703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45703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45703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45703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45703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45703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45703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45703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45703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45703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45703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45703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45703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45703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45703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45703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45703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45703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45703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45703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45703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45703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45703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45703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45703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45703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45703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45703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45703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45703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45703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45703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45703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45703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45703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45703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45703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45703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45703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45703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45703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45703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45703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45703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45703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45703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45703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45703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45703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45703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45703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45703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45703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45703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45703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45703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45703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45703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45703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45703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45703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45703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45703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45703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45703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45703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45703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45703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45703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45703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45703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45703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45703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45703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45703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45703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45703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45703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45703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45703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45703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45703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45703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45703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45703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45703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45703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45703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45703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45703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45703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45703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45703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45703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45703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45703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45703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45703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45703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45703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45703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45703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45703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45703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45703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45703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45703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45703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45703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45703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45703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45703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45703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45703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45703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45703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45703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45703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45703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45703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45703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45703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45703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45703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45703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45703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45703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45703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45703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45703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45703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45703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45703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45703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45703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45703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45703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45703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45703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45703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45703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45703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45703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45703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45703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45703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45703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45703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45703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45703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45703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45703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45703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45703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45703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45703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45703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45703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45703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45703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45703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45703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45703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45703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45703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45703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45703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45703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45703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45703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45703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45703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45703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45703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45703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45703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45703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45703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45703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45703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45703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45703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45703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45703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45703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45703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45703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45703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45703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45703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45703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45703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45703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45703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45703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45703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45703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45703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45703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45703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45703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45703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45703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45703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45703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45703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45703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45703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45703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45703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45703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45703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45703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45703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45703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45703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45703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45703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45703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45703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45703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45703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45703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45703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45703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45703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45703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45703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45703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45703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45703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45703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45703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45703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45703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45703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45703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45703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45703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45703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45703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45703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45703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45703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45703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45703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45703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45703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45703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45703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45703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45703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45703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45703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45703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45703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45703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45703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45703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45703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45703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45703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45703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45703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45703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45703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45703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45703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45703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45703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45703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45703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45703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45703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45703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45703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45703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45703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45703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45703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45703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45703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45703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45703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45703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45703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45703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45703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45703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45703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45703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45703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45703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45703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45703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45703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45703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45703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45703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45703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45703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45703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45703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45703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45703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45703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45703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45703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45703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45703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45703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45703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45703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45703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45703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45703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45703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45703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45703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45703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45703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45703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45703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45703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45703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45703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45703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45703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45703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45703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45703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45703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45703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45703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45703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45703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45703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45703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45703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45703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45703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45703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45703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45703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45703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45703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45703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45703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45703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45703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45703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45703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45703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45703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45703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45703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45703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45703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45703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45703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45703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45703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45703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45703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45703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45703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45703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45703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45703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45703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45703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45703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45703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45703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45703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45703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45703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45703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45703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45703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45703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45703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45703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45703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45703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45703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45703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45703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45703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45703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45703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45703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45703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45703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45703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45703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45703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45703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45703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45703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45703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45703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45703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45703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45703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45703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45703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45703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45703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45703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45703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45703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45703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45703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45703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45703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45703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45703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45703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45703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45703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45703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45703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45703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45703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45703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45703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45703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45703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45703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45703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45703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45703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45703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45703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45703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45703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45703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45703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45703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45703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45703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45703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45703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45703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45703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45703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45703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45703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45703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45703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45703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45703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45703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45703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45703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45703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45703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45703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45703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45703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45703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45703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45703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45703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45703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45703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45703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45703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45703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45703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45703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45703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45703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45703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45703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45703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45703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45703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45703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45703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45703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45703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45703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45703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45703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45703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45703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45703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45703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45703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45703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45703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45703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45703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45703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45703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45703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45703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45703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45703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45703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45703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45703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45703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45703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45703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45703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45703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45703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45703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45703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45703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45703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45703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45703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45703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45703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45703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45703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45703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45703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45703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45703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45703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45703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45703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45703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45703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45703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45703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45703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45703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45703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45703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45703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45703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45703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45703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45703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45703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45703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45703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45703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45703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45703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45703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45703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45703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45703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45703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45703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45703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45703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45703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45703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45703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45703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45703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45703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45703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45703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45703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45703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45703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45703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45703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45703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45703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45703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45703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45703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45703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45703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45703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45703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45703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45703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45703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45703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45703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45703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45703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45703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45703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45703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45703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45703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45703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45703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45703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45703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45703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45703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45703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45703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45703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45703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45703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45703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45703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45703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45703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45703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45703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45703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45703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45703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45703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45703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45703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45703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45703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45703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45703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45703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45703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45703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45703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45703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45703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45703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45703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45703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45703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45703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45703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45703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45703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45703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45703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45703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45703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45703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45703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45703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45703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45703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45703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45703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45703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45703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45703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45703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45703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45703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45703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45703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45703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45703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45703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45703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45703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45703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45703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45703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45703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45703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45703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45703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45703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45703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45703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45703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45703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45703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45703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45703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45703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45703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45703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45703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45703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45703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45703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45703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45703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45703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45703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45703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45703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45703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45703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45703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45703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45703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45703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45703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45703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45703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45703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45703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45703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45703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45703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45703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45703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45703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45703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45703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45703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45703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45703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45703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45703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45703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45703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45703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45703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45703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45703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45703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45703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45703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45703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45703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45703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45703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45703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45703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45703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45703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45703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45703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45703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45703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45703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45703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45703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45703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45703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45703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45703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45703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45703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45703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45703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45703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45703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45703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45703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45703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45703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45703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45703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45703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45703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45703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45703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45703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45703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45703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45703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45703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45703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45703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45703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45703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45703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45703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45703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45703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45703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45703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45703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45703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45703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45703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45703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45703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45703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45703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45703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45703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45703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45703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45703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45703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45703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45703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45703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45703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45703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45703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45703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45703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45703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45703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45703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45703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45703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45703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45703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45703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45703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45703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45703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45703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45703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45703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45703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45703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45703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45703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45703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45703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45703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45703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45703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45703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45703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45703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45703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45703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45703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45703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45703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45703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45703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45703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45703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45703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45703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45703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45703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45703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45703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45703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45703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45703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45703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45703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45703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45703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45703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45703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45703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45703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45703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45703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45703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45703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45703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45703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45703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45703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45703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45703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45703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45703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45703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45703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45703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45703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45703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45703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45703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45703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45703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45703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45703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45703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45703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45703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45703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45703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45703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45703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45703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45703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45703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45703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45703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45703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45703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45703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45703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45703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45703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45703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45703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45703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45703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45703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45703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45703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45703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45703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45703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45703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45703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45703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45703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45703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45703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45703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45703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45703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45703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45703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45703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45703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45703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45703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45703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45703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45703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45703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45703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45703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45703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45703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45703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45703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45703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45703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45703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45703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45703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45703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45703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45703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45703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45703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45703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45703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45703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45703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45703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45703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45703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45703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45703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45703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45703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45703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45703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45703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45703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45703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45703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45703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45703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45703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45703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45703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45703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45703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45703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45703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45703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45703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45703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45703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45703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45703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45703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45703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45703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45703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45703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45703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45703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45703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45703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45703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45703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45703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45703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45703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45703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45703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45703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45703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45703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45703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45703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45703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45703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45703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45703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45703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45703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45703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45703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45703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45703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45703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45703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45703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45703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45703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45703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45703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45703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45703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45703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45703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45703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45703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45703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45703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45703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45703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45703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45703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45703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45703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45703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45703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45703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45703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45703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45703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45703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45703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45703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45703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45703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45703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45703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45703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45703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45703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45703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45703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45703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45703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45703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45703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45703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45703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45703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45703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45703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45703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45703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45703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45703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45703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45703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45703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45703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45703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45703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45703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45703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45703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45703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45703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45703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45703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45703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45703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45703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45703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45703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45703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45703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45703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45703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45703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45703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45703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45703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45703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45703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45703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45703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45703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45703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45703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45703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45703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45703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45703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45703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45703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45703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45703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45703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45703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45703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45703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45703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45703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45703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45703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45703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45703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45703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45703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45703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45703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45703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45703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45703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45703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45703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45703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45703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45703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45703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45703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45703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45703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45703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45703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45703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45703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45703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45703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45703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45703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45703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45703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45703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45703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45703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45703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45703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45703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45703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45703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45703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45703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45703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45703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45703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45703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45703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45703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45703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45703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45703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45703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45703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45703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45703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45703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45703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45703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45703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45703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45703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45703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45703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45703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45703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45703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45703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45703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45703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45703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45703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45703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45703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45703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45703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45703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45703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45703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45703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45703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45703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45703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45703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45703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45703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45703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45703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45703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45703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45703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45703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45703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45703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45703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45703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45703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45703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45703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45703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45703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45703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45703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45703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45703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45703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45703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45703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45703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45703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45703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45703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45703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45703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45703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45703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45703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45703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45703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45703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45703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45703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45703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45703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45703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45703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45703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45703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45703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45703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45703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45703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45703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45703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45703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45703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45703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45703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45703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45703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45703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45703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45703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45703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45703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45703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45703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45703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45703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45703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45703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45703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45703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45703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45703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45703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45703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45703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45703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45703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45703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45703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45703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45703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45703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45703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45703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45703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45703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45703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45703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45703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45703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45703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45703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45703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45703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45703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45703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45703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45703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45703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45703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45703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45703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45703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45703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45703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45703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45703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45703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45703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45703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45703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45703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45703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45703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45703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45703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45703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45703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45703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45703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45703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45703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45703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45703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45703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45703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45703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45703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45703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45703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45703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45703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45703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45703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45703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45703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45703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45703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45703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45703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45703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45703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45703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45703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45703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45703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45703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45703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45703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45703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45703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45703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45703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45703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45703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45703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45703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45703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45703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45703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45703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45703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45703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45703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45703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45703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45703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45703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45703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45703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45703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45703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45703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45703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45703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45703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45703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45703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45703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45703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45703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45703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45703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45703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45703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45703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45703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45703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45703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45703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45703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45703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45703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45703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45703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45703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45703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45703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45703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45703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45703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45703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45703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45703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45703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45703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45703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45703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45703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45703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45703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45703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45703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45703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45703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45703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45703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45703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45703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45703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45703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45703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45703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45703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45703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45703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45703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45703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45703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45703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45703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45703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45703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45703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45703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45703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45703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45703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45703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45703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45703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45703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45703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45703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45703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45703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45703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45703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45703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45703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45703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45703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45703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45703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45703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45703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45703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45703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45703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45703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45703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45703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45703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45703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45703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45703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45703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45703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45703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45703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45703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45703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45703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45703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45703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45703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45703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45703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45703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45703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45703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45703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45703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45703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45703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45703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45703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45703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45703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45703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45703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45703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45703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45703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45703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45703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45703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45703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45703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45703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45703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45703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45703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45703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45703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45703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45703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45703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45703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45703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45703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45703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45703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45703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45703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45703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45703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45703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45703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45703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45703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45703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45703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45703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45703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45703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45703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45703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45703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45703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45703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45703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45703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45703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45703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45703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45703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45703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45703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45703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45703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45703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45703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45703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45703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45703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45703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45703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45703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45703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45703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45703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45703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45703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45703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45703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45703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45703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45703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45703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45703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45703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45703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45703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45703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45703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45703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45703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45703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45703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45703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45703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45703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45703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45703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45703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45703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45703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45703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45703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45703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45703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45703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45703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45703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45703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45703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45703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45703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45703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45703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45703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45703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45703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45703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45703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45703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45703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45703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45703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45703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45703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45703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45703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45703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45703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45703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45703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45703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45703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45703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45703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45703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45703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45703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45703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45703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45703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45703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45703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45703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45703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45703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45703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45703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45703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45703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45703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45703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45703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45703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45703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45703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45703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45703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45703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45703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45703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45703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45703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45703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45703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45703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45703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45703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45703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45703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45703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45703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45703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45703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45703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45703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45703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45703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45703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45703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45703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45703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45703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45703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45703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45703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45703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45703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45703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45703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45703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45703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45703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45703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45703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45703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45703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45703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45703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45703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45703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45703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45703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45703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45703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45703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45703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45703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45703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45703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45703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45703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45703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45703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45703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45703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45703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45703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45703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45703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45703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45703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45703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45703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45703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45703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45703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45703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45703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45703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45703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45703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45703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45703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45703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45703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45703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45703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45703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45703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45703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45703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45703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45703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45703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45703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45703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45703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45703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45703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45703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45703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45703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45703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45703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45703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45703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45703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45703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45703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45703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45703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45703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45703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45703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45703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45703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45703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45703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45703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45703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45703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45703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45703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45703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45703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45703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45703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45703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45703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45703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45703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45703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45703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45703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45703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45703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45703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45703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45703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45703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45703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45703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45703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45703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45703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45703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45703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45703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45703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45703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45703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45703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45703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45703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45703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45703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45703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45703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45703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45703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45703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45703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45703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45703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45703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45703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45703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45703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45703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45703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45703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45703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45703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45703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45703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45703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45703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45703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45703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45703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45703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45703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45703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45703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45703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45703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45703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45703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45703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45703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45703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45703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45703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45703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45703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45703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45703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45703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45703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45703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45703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45703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45703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45703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45703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45703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45703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45703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45703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45703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45703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45703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45703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45703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45703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45703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45703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45703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45703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45703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45703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45703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45703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45703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45703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45703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45703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45703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45703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45703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45703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45703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45703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45703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45703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45703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45703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45703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45703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45703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45703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45703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45703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45703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45703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45703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45703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45703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45703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45703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45703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45703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45703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45703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45703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45703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45703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45703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45703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45703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45703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45703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45703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45703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45703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45703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45703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45703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45703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45703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45703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45703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45703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45703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45703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45703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45703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45703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45703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45703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45703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45703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45703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45703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45703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45703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45703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45703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45703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45703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45703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45703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45703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45703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45703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45703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45703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45703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45703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45703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45703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45703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45703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45703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45703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45703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45703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45703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45703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45703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45703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45703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45703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45703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45703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45703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45703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45703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45703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45703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45703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45703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45703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45703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45703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45703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45703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45703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45703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45703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45703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45703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45703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45703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45703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45703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45703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45703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45703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45703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45703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45703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45703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45703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45703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45703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45703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45703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45703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45703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45703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45703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45703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45703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45703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45703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45703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45703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45703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45703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45703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45703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45703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45703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45703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45703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45703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45703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45703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45703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45703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45703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45703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45703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45703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45703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45703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45703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45703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45703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45703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45703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45703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45703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45703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45703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45703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45703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45703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45703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45703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45703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45703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45703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45703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45703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45703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45703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45703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45703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45703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45703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45703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45703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45703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45703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45703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45703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45703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45703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45703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45703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45703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45703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45703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45703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45703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45703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45703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45703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45703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45703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45703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45703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45703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45703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45703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45703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45703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45703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45703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45703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45703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45703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45703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45703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45703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45703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45703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45703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45703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45703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45703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45703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45703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45703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45703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45703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45703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45703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45703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45703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45703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45703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45703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45703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45703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45703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45703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45703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45703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45703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45703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45703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45703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45703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45703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45703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45703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45703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45703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45703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45703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45703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45703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45703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45703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45703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45703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45703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45703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45703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45703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45703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45703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45703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45703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45703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45703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45703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45703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45703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45703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45703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45703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45703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45703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45703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45703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45703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45703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45703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45703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45703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45703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45703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45703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45703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45703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45703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45703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45703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45703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45703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45703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45703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45703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45703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45703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45703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45703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45703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45703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45703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45703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45703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45703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45703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45703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45703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45703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45703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45703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45703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45703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45703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45703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45703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45703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45703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45703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45703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45703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45703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45703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45703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45703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45703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45703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45703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45703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45703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45703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45703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45703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45703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45703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45703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45703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45703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45703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45703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45703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45703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45703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45703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45703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45703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45703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45703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45703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45703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45703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45703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45703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45703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45703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45703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45703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45703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45703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45703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45703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45703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45703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45703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45703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45703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45703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45703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45703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45703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45703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45703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45703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45703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45703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45703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45703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45703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45703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45703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45703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45703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45703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45703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45703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45703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45703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45703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45703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45703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45703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45703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45703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45703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45703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45703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45703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45703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45703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45703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45703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45703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45703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45703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45703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45703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45703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45703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45703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45703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45703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45703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45703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45703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45703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45703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45703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45703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45703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45703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45703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45703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45703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45703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45703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45703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45703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45703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45703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45703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45703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45703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45703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45703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45703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45703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45703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45703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45703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45703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45703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45703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45703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45703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45703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45703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45703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45703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45703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45703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45703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45703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45703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45703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45703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45703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45703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45703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45703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45703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45703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45703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45703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45703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45703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45703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45703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45703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45703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45703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45703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45703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45703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45703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45703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45703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45703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45703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45703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45703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45703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45703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45703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45703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45703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45703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45703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45703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45703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45703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45703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45703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45703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45703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45703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45703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45703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45703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45703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45703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45703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45703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45703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45703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45703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45703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45703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45703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45703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45703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45703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45703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45703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45703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45703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45703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45703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45703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45703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45703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45703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45703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45703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45703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45703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45703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45703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45703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45703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45703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45703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45703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45703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45703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45703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45703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45703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45703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45703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45703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45703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45703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45703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45703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45703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45703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45703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45703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45703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45703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45703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45703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45703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45703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45703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45703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45703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45703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45703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45703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45703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45703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45703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45703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45703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45703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45703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45703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45703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45703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45703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45703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45703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45703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45703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45703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45703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45703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45703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45703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45703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45703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45703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45703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45703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45703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45703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45703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45703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45703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45703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45703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45703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45703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45703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45703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45703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45703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45703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45703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45703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45703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45703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45703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45703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45703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45703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45703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45703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45703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45703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45703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45703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45703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45703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45703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45703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45703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45703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45703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45703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45703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45703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45703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45703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45703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45703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45703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45703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45703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45703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45703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45703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45703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45703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45703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45703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45703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45703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45703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45703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45703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45703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45703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45703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45703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45703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45703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45703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45703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45703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45703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45703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45703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45703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45703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45703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45703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45703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45703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45703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45703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45703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45703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45703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45703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45703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45703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45703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45703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45703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45703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45703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45703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45703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45703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45703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45703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45703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45703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45703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45703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45703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45703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45703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45703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45703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45703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45703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45703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45703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45703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45703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45703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45703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45703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45703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45703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45703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45703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45703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45703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45703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45703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45703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45703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45703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45703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45703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45703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45703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45703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45703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45703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45703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45703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45703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45703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45703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45703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45703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45703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45703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45703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45703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45703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45703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45703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45703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45703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45703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45703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45703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45703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45703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45703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45703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45703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45703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45703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45703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45703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45703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45703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45703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45703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45703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45703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45703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45703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45703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45703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45703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45703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45703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45703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45703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45703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45703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45703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45703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45703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45703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45703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45703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45703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45703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45703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45703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45703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45703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45703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45703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45703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45703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45703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45703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45703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45703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45703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45703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45703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45703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45703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45703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45703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45703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45703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45703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45703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45703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45703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45703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45703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45703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45703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45703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45703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45703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45703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45703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45703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45703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45703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45703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45703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45703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45703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45703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45703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45703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45703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45703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45703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45703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45703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45703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45703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45703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45703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45703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45703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45703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45703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45703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45703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45703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45703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45703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45703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45703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45703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45703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45703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45703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45703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45703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45703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45703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45703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45703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45703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45703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45703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45703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45703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45703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45703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45703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45703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45703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45703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45703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45703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45703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45703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45703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45703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45703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45703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45703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45703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45703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45703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45703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45703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45703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45703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45703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45703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45703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45703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45703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45703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45703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45703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45703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45703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45703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45703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45703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45703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45703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45703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45703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45703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45703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45703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45703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45703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45703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45703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45703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45703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45703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45703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45703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45703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45703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45703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45703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45703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45703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45703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45703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45703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45703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45703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45703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45703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45703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45703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45703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45703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45703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45703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45703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45703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45703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45703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45703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45703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45703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45703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45703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45703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45703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45703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45703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45703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45703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45703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45703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45703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45703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45703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45703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45703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45703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45703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45703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45703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45703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45703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45703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45703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45703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45703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45703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45703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45703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45703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45703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45703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45703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45703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45703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45703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45703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45703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45703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45703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45703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45703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45703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45703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45703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45703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45703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45703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45703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45703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45703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45703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45703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45703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45703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45703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45703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45703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45703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45703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45703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45703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45703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45703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45703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45703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45703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45703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45703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45703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45703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45703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45703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45703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45703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45703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45703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45703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45703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45703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45703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45703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45703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45703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45703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45703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45703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45703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45703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45703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45703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45703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45703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45703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45703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45703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45703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45703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45703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45703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45703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45703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45703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45703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45703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45703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45703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45703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45703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45703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45703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45703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45703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45703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45703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45703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45703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45703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45703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45703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45703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45703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45703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45703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45703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45703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45703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45703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45703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45703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45703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45703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45703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45703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45703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45703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45703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45703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45703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45703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45703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45703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45703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45703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45703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45703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45703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45703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45703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45703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45703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45703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45703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45703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45703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45703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45703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45703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45703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45703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45703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45703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45703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45703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45703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45703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45703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45703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45703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45703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45703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45703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45703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45703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45703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45703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45703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45703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45703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45703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45703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45703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45703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45703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45703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45703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45703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45703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45703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45703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45703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45703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45703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45703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45703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45703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45703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45703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45703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45703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45703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45703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45703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45703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45703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45703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45703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45703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45703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45703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45703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45703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45703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45703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45703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45703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45703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45703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45703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45703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45703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45703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45703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45703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45703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45703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45703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45703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45703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45703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45703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45703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45703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45703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45703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45703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45703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45703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45703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45703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45703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45703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45703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45703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45703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45703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45703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45703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45703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45703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45703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45703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45703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45703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45703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45703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45703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45703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45703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45703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45703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45703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45703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45703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45703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45703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45703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45703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45703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45703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45703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45703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45703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45703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45703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45703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45703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45703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45703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45703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45703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45703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45703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45703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45703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45703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45703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45703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45703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45703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45703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45703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45703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45703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45703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45703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45703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45703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45703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45703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45703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45703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45703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45703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45703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45703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45703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45703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45703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45703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45703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45703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45703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45703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45703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45703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45703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45703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45703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45703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45703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45703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45703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45703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45703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45703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45703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45703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45703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45703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45703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45703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45703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45703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45703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45703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45703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45703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45703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45703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45703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45703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45703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45703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45703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45703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45703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45703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45703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45703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45703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45703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45703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45703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45703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45703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45703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45703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45703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45703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45703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45703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45703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45703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45703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45703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45703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45703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45703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45703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45703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45703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45703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45703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45703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45703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45703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45703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45703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45703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45703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45703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45703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45703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45703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45703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45703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45703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45703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45703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45703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45703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45703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45703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45703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45703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45703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45703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45703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45703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45703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45703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45703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45703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45703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45703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45703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45703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45703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45703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45703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45703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45703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45703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45703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45703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45703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45703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45703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45703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45703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45703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45703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45703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45703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45703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45703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45703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45703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45703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45703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45703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45703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45703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45703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45703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45703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45703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45703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45703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45703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45703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45703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45703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45703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45703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45703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45703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45703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45703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45703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45703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45703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45703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45703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45703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45703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45703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45703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45703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45703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45703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45703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45703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45703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45703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45703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45703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45703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45703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45703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45703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45703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45703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45703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45703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45703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45703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45703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45703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45703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45703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45703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45703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45703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45703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45703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45703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45703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45703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45703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45703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45703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45703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45703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45703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45703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45703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45703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45703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45703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45703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45703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45703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45703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45703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45703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45703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45703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45703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45703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45703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45703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45703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45703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45703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45703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45703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45703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45703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45703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45703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45703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45703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45703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45703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45703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45703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45703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45703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45703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45703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45703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45703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45703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45703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45703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45703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45703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45703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45703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45703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45703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45703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45703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45703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45703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45703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45703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45703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45703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45703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45703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45703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45703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45703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45703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45703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45703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45703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45703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45703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45703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45703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45703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45703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45703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45703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45703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45703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45703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45703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45703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45703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45703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45703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45703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45703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45703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45703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45703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45703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45703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45703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45703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45703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45703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45703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45703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45703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45703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45703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45703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45703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45703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45703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45703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45703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45703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45703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45703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45703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45703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45703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45703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45703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45703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45703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45703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45703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45703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45703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45703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45703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45703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45703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45703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45703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45703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45703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45703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45703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45703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45703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45703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45703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45703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45703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45703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45703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45703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45703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45703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45703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45703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45703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45703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45703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45703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45703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45703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45703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45703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45703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45703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45703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45703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45703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45703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45703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45703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45703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45703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45703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45703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45703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45703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45703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45703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45703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45703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45703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45703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45703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45703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45703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45703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45703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45703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45703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45703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45703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45703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45703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45703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45703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45703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45703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45703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45703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45703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45703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45703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45703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45703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45703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45703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45703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45703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45703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45703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45703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45703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45703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45703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45703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45703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45703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45703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45703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45703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45703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45703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45703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45703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45703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45703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45703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45703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45703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45703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45703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45703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45703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45703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45703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45703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45703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45703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45703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45703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45703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45703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45703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45703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45703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45703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45703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45703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45703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45703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45703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45703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45703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45703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45703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45703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45703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45703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45703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45703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45703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45703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45703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45703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45703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45703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45703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45703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45703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45703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45703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45703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45703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45703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45703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45703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45703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45703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45703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45703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45703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45703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45703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45703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45703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45703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45703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45703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45703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45703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45703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45703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45703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45703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45703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45703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45703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45703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45703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45703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45703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45703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45703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45703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45703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45703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45703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45703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45703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45703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45703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45703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45703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45703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45703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45703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45703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45703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45703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45703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45703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45703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45703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45703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45703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45703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45703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45703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45703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45703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45703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45703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45703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45703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45703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45703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45703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45703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45703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45703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45703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45703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45703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45703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45703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45703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45703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45703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45703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45703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45703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45703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45703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45703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45703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45703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45703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45703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45703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45703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45703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45703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45703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45703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45703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45703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45703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45703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45703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45703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45703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45703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45703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45703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45703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45703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45703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45703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45703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45703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45703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45703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45703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45703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45703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45703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45703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45703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45703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45703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45703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45703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45703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45703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45703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45703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45703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45703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45703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45703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45703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45703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45703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45703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45703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45703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45703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45703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45703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45703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45703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45703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45703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45703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45703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45703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45703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45703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45703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45703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45703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45703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45703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45703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45703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45703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45703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45703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45703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45703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45703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45703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45703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45703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45703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45703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45703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45703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45703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45703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45703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45703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45703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45703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45703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45703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45703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45703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45703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45703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45703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45703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45703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45703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45703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45703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45703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45703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45703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45703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45703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45703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45703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45703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45703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45703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45703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45703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45703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45703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45703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45703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45703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45703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45703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45703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45703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45703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45703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45703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45703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45703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45703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45703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45703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45703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45703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45703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45703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45703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45703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45703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45703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45703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45703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45703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45703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45703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45703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45703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45703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45703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45703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45703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45703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45703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45703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45703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45703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45703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45703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45703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45703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45703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45703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45703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45703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45703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45703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45703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45703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45703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45703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45703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45703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45703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45703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45703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45703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45703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45703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45703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45703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45703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45703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45703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45703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45703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45703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45703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45703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45703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45703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45703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45703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45703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45703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45703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45703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45703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45703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45703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45703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45703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45703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45703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45703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45703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45703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45703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45703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45703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45703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45703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45703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45703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45703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45703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45703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45703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45703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45703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45703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45703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45703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45703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45703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45703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45703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45703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45703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45703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45703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45703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45703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45703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45703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45703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45703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45703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45703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45703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45703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45703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45703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45703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45703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45703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45703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45703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45703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45703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45703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45703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45703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45703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45703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45703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45703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45703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45703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45703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45703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45703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45703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45703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45703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45703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45703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45703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45703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45703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45703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45703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45703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45703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45703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45703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45703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45703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45703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45703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45703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45703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45703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45703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45703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45703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45703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45703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45703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45703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45703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45703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45703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45703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45703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45703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45703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45703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45703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45703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45703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45703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45703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45703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45703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45703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45703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45703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45703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45703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45703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45703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45703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45703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45703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45703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45703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45703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45703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45703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45703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45703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45703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45703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45703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45703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45703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45703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45703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45703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45703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45703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45703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45703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45703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45703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45703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45703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45703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45703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45703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45703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45703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45703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45703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45703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45703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45703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45703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45703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45703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45703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45703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45703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45703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45703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45703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45703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45703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45703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45703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45703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45703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45703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45703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45703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45703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45703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45703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45703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45703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45703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45703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45703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45703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45703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45703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45703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45703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45703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45703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45703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45703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45703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45703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45703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45703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45703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45703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45703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45703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45703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45703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45703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45703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45703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45703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45703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45703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45703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45703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45703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45703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45703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45703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45703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45703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45703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45703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45703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45703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45703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45703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45703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45703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45703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45703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45703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45703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45703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45703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45703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45703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45703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45703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45703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45703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45703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45703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45703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45703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45703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45703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45703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45703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45703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45703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45703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45703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45703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45703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45703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45703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45703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45703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45703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45703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45703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45703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45703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45703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45703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45703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45703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45703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45703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45703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45703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45703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45703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45703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45703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45703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45703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45703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45703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45703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45703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45703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45703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45703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45703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45703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45703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45703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45703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45703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45703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45703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45703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45703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45703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45703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45703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45703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45703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45703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45703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45703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45703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45703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45703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45703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45703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45703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45703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45703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45703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45703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45703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45703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45703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45703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45703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45703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45703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45703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45703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45703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45703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45703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45703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45703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45703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45703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45703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45703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45703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45703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45703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45703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45703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45703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45703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45703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45703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45703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45703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45703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45703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45703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45703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45703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45703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45703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45703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45703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45703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45703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45703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45703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45703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45703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45703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45703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45703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45703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45703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45703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45703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45703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45703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45703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45703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45703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45703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45703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45703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45703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45703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45703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45703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45703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45703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45703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45703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45703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45703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45703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45703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45703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45703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45703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45703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45703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45703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45703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45703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45703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45703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45703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45703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45703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45703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45703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45703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45703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45703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45703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45703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45703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45703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45703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45703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45703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45703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45703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45703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45703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45703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45703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45703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45703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45703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45703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45703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45703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45703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45703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45703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45703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45703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45703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45703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45703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45703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45703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45703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45703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45703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45703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45703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45703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45703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45703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45703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45703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45703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45703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45703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45703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45703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45703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45703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45703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45703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45703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45703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45703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45703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45703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45703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45703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45703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45703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45703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45703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45703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45703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45703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45703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45703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45703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45703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45703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45703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45703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45703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45703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45703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45703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45703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45703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45703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45703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45703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45703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45703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45703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45703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45703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45703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45703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45703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45703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45703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45703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45703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45703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45703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45703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45703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45703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45703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45703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45703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45703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45703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45703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45703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45703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45703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45703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45703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45703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45703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45703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45703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45703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45703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45703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45703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45703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45703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45703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45703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45703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45703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45703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45703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45703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45703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45703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45703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45703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45703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45703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45703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45703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45703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45703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45703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45703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45703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45703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45703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45703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45703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45703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45703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45703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45703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45703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45703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45703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45703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45703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45703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45703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45703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45703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45703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45703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45703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45703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45703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45703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45703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45703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45703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45703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45703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45703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45703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45703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45703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45703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45703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45703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45703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45703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45703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45703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45703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45703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45703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45703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45703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45703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45703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45703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45703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45703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45703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45703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45703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45703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45703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45703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45703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45703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45703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45703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45703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45703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45703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45703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45703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45703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45703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45703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45703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45703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45703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45703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45703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45703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45703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45703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45703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45703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45703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45703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45703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45703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45703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45703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45703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45703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45703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45703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45703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45703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45703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45703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45703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45703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45703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45703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45703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45703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45703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45703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45703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45703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45703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45703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45703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45703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45703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45703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45703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45703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45703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45703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45703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45703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45703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45703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45703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45703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45703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45703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45703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45703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45703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45703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45703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45703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45703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45703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45703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45703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45703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45703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45703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45703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45703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45703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45703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45703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45703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45703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45703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45703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45703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45703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45703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45703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45703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45703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45703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45703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45703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45703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45703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45703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45703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45703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45703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45703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45703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45703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45703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45703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45703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45703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45703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45703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45703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45703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45703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45703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45703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45703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45703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45703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45703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45703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45703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45703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45703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45703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45703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45703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45703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45703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45703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45703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45703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45703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45703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45703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45703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45703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45703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45703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45703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45703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45703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45703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45703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45703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45703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45703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45703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45703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45703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45703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45703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45703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45703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45703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45703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45703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45703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45703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45703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45703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45703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45703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45703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45703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45703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45703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45703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45703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45703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45703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45703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45703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45703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45703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45703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45703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45703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45703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45703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45703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45703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45703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45703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45703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45703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45703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45703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45703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45703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45703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45703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45703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45703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45703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45703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45703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45703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45703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45703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45703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45703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45703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45703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45703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45703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45703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45703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45703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1939-2025</t>
        </is>
      </c>
      <c r="B11760" s="1" t="n">
        <v>45671</v>
      </c>
      <c r="C11760" s="1" t="n">
        <v>45703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1915-2025</t>
        </is>
      </c>
      <c r="B11761" s="1" t="n">
        <v>45671</v>
      </c>
      <c r="C11761" s="1" t="n">
        <v>45703</v>
      </c>
      <c r="D11761" t="inlineStr">
        <is>
          <t>JÖNKÖPINGS LÄN</t>
        </is>
      </c>
      <c r="E11761" t="inlineStr">
        <is>
          <t>HABO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1973-2025</t>
        </is>
      </c>
      <c r="B11762" s="1" t="n">
        <v>45671</v>
      </c>
      <c r="C11762" s="1" t="n">
        <v>45703</v>
      </c>
      <c r="D11762" t="inlineStr">
        <is>
          <t>JÖNKÖPINGS LÄN</t>
        </is>
      </c>
      <c r="E11762" t="inlineStr">
        <is>
          <t>VÄRNAMO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1938-2025</t>
        </is>
      </c>
      <c r="B11763" s="1" t="n">
        <v>45671</v>
      </c>
      <c r="C11763" s="1" t="n">
        <v>45703</v>
      </c>
      <c r="D11763" t="inlineStr">
        <is>
          <t>JÖNKÖPINGS LÄN</t>
        </is>
      </c>
      <c r="E11763" t="inlineStr">
        <is>
          <t>VAGGERYD</t>
        </is>
      </c>
      <c r="G11763" t="n">
        <v>6.7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1916-2025</t>
        </is>
      </c>
      <c r="B11764" s="1" t="n">
        <v>45671</v>
      </c>
      <c r="C11764" s="1" t="n">
        <v>45703</v>
      </c>
      <c r="D11764" t="inlineStr">
        <is>
          <t>JÖNKÖPINGS LÄN</t>
        </is>
      </c>
      <c r="E11764" t="inlineStr">
        <is>
          <t>SÄVSJÖ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1908-2025</t>
        </is>
      </c>
      <c r="B11765" s="1" t="n">
        <v>45671</v>
      </c>
      <c r="C11765" s="1" t="n">
        <v>45703</v>
      </c>
      <c r="D11765" t="inlineStr">
        <is>
          <t>JÖNKÖPINGS LÄN</t>
        </is>
      </c>
      <c r="E11765" t="inlineStr">
        <is>
          <t>SÄVSJÖ</t>
        </is>
      </c>
      <c r="G11765" t="n">
        <v>2.6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45703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1730-2025</t>
        </is>
      </c>
      <c r="B11767" s="1" t="n">
        <v>45671</v>
      </c>
      <c r="C11767" s="1" t="n">
        <v>45703</v>
      </c>
      <c r="D11767" t="inlineStr">
        <is>
          <t>JÖNKÖPINGS LÄN</t>
        </is>
      </c>
      <c r="E11767" t="inlineStr">
        <is>
          <t>NÄSSJÖ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1819-2025</t>
        </is>
      </c>
      <c r="B11768" s="1" t="n">
        <v>45671</v>
      </c>
      <c r="C11768" s="1" t="n">
        <v>45703</v>
      </c>
      <c r="D11768" t="inlineStr">
        <is>
          <t>JÖNKÖPINGS LÄN</t>
        </is>
      </c>
      <c r="E11768" t="inlineStr">
        <is>
          <t>GISLAVED</t>
        </is>
      </c>
      <c r="G11768" t="n">
        <v>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1724-2025</t>
        </is>
      </c>
      <c r="B11769" s="1" t="n">
        <v>45671</v>
      </c>
      <c r="C11769" s="1" t="n">
        <v>45703</v>
      </c>
      <c r="D11769" t="inlineStr">
        <is>
          <t>JÖNKÖPINGS LÄN</t>
        </is>
      </c>
      <c r="E11769" t="inlineStr">
        <is>
          <t>NÄSSJÖ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1720-2025</t>
        </is>
      </c>
      <c r="B11770" s="1" t="n">
        <v>45671</v>
      </c>
      <c r="C11770" s="1" t="n">
        <v>45703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1838-2025</t>
        </is>
      </c>
      <c r="B11771" s="1" t="n">
        <v>45671</v>
      </c>
      <c r="C11771" s="1" t="n">
        <v>45703</v>
      </c>
      <c r="D11771" t="inlineStr">
        <is>
          <t>JÖNKÖPINGS LÄN</t>
        </is>
      </c>
      <c r="E11771" t="inlineStr">
        <is>
          <t>VETLANDA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45703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1758-2025</t>
        </is>
      </c>
      <c r="B11773" s="1" t="n">
        <v>45671</v>
      </c>
      <c r="C11773" s="1" t="n">
        <v>45703</v>
      </c>
      <c r="D11773" t="inlineStr">
        <is>
          <t>JÖNKÖPINGS LÄN</t>
        </is>
      </c>
      <c r="E11773" t="inlineStr">
        <is>
          <t>NÄSSJÖ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1782-2025</t>
        </is>
      </c>
      <c r="B11774" s="1" t="n">
        <v>45671</v>
      </c>
      <c r="C11774" s="1" t="n">
        <v>45703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1780-2025</t>
        </is>
      </c>
      <c r="B11775" s="1" t="n">
        <v>45671</v>
      </c>
      <c r="C11775" s="1" t="n">
        <v>45703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1789-2025</t>
        </is>
      </c>
      <c r="B11776" s="1" t="n">
        <v>45671</v>
      </c>
      <c r="C11776" s="1" t="n">
        <v>45703</v>
      </c>
      <c r="D11776" t="inlineStr">
        <is>
          <t>JÖNKÖPINGS LÄN</t>
        </is>
      </c>
      <c r="E11776" t="inlineStr">
        <is>
          <t>VETLANDA</t>
        </is>
      </c>
      <c r="G11776" t="n">
        <v>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1840-2025</t>
        </is>
      </c>
      <c r="B11777" s="1" t="n">
        <v>45671</v>
      </c>
      <c r="C11777" s="1" t="n">
        <v>45703</v>
      </c>
      <c r="D11777" t="inlineStr">
        <is>
          <t>JÖNKÖPINGS LÄN</t>
        </is>
      </c>
      <c r="E11777" t="inlineStr">
        <is>
          <t>VETLANDA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1903-2025</t>
        </is>
      </c>
      <c r="B11778" s="1" t="n">
        <v>45671</v>
      </c>
      <c r="C11778" s="1" t="n">
        <v>45703</v>
      </c>
      <c r="D11778" t="inlineStr">
        <is>
          <t>JÖNKÖPINGS LÄN</t>
        </is>
      </c>
      <c r="E11778" t="inlineStr">
        <is>
          <t>EKSJÖ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1932-2025</t>
        </is>
      </c>
      <c r="B11779" s="1" t="n">
        <v>45671</v>
      </c>
      <c r="C11779" s="1" t="n">
        <v>45703</v>
      </c>
      <c r="D11779" t="inlineStr">
        <is>
          <t>JÖNKÖPINGS LÄN</t>
        </is>
      </c>
      <c r="E11779" t="inlineStr">
        <is>
          <t>VETLANDA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2142-2025</t>
        </is>
      </c>
      <c r="B11780" s="1" t="n">
        <v>45672</v>
      </c>
      <c r="C11780" s="1" t="n">
        <v>45703</v>
      </c>
      <c r="D11780" t="inlineStr">
        <is>
          <t>JÖNKÖPINGS LÄN</t>
        </is>
      </c>
      <c r="E11780" t="inlineStr">
        <is>
          <t>GISLAVED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45703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1960-2025</t>
        </is>
      </c>
      <c r="B11782" s="1" t="n">
        <v>45672</v>
      </c>
      <c r="C11782" s="1" t="n">
        <v>45703</v>
      </c>
      <c r="D11782" t="inlineStr">
        <is>
          <t>JÖNKÖPINGS LÄN</t>
        </is>
      </c>
      <c r="E11782" t="inlineStr">
        <is>
          <t>VETLANDA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2036-2025</t>
        </is>
      </c>
      <c r="B11783" s="1" t="n">
        <v>45672</v>
      </c>
      <c r="C11783" s="1" t="n">
        <v>45703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2027-2025</t>
        </is>
      </c>
      <c r="B11784" s="1" t="n">
        <v>45672</v>
      </c>
      <c r="C11784" s="1" t="n">
        <v>45703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45703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1991-2025</t>
        </is>
      </c>
      <c r="B11786" s="1" t="n">
        <v>45672</v>
      </c>
      <c r="C11786" s="1" t="n">
        <v>45703</v>
      </c>
      <c r="D11786" t="inlineStr">
        <is>
          <t>JÖNKÖPINGS LÄN</t>
        </is>
      </c>
      <c r="E11786" t="inlineStr">
        <is>
          <t>SÄVSJÖ</t>
        </is>
      </c>
      <c r="F11786" t="inlineStr">
        <is>
          <t>Kommuner</t>
        </is>
      </c>
      <c r="G11786" t="n">
        <v>2.3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1977-2025</t>
        </is>
      </c>
      <c r="B11787" s="1" t="n">
        <v>45672</v>
      </c>
      <c r="C11787" s="1" t="n">
        <v>45703</v>
      </c>
      <c r="D11787" t="inlineStr">
        <is>
          <t>JÖNKÖPINGS LÄN</t>
        </is>
      </c>
      <c r="E11787" t="inlineStr">
        <is>
          <t>GISLAVED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1951-2025</t>
        </is>
      </c>
      <c r="B11788" s="1" t="n">
        <v>45672</v>
      </c>
      <c r="C11788" s="1" t="n">
        <v>45703</v>
      </c>
      <c r="D11788" t="inlineStr">
        <is>
          <t>JÖNKÖPINGS LÄN</t>
        </is>
      </c>
      <c r="E11788" t="inlineStr">
        <is>
          <t>VETLANDA</t>
        </is>
      </c>
      <c r="G11788" t="n">
        <v>1.8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1947-2025</t>
        </is>
      </c>
      <c r="B11789" s="1" t="n">
        <v>45672</v>
      </c>
      <c r="C11789" s="1" t="n">
        <v>45703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1950-2025</t>
        </is>
      </c>
      <c r="B11790" s="1" t="n">
        <v>45672</v>
      </c>
      <c r="C11790" s="1" t="n">
        <v>45703</v>
      </c>
      <c r="D11790" t="inlineStr">
        <is>
          <t>JÖNKÖPINGS LÄN</t>
        </is>
      </c>
      <c r="E11790" t="inlineStr">
        <is>
          <t>VETLANDA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1979-2025</t>
        </is>
      </c>
      <c r="B11791" s="1" t="n">
        <v>45672</v>
      </c>
      <c r="C11791" s="1" t="n">
        <v>45703</v>
      </c>
      <c r="D11791" t="inlineStr">
        <is>
          <t>JÖNKÖPINGS LÄN</t>
        </is>
      </c>
      <c r="E11791" t="inlineStr">
        <is>
          <t>GISLAVED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1953-2025</t>
        </is>
      </c>
      <c r="B11792" s="1" t="n">
        <v>45672</v>
      </c>
      <c r="C11792" s="1" t="n">
        <v>45703</v>
      </c>
      <c r="D11792" t="inlineStr">
        <is>
          <t>JÖNKÖPINGS LÄN</t>
        </is>
      </c>
      <c r="E11792" t="inlineStr">
        <is>
          <t>VETLANDA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  <c r="U11792">
        <f>HYPERLINK("https://klasma.github.io/Logging_0685/knärot/A 1953-2025 karta knärot.png", "A 1953-2025")</f>
        <v/>
      </c>
      <c r="V11792">
        <f>HYPERLINK("https://klasma.github.io/Logging_0685/klagomål/A 1953-2025 FSC-klagomål.docx", "A 1953-2025")</f>
        <v/>
      </c>
      <c r="W11792">
        <f>HYPERLINK("https://klasma.github.io/Logging_0685/klagomålsmail/A 1953-2025 FSC-klagomål mail.docx", "A 1953-2025")</f>
        <v/>
      </c>
      <c r="X11792">
        <f>HYPERLINK("https://klasma.github.io/Logging_0685/tillsyn/A 1953-2025 tillsynsbegäran.docx", "A 1953-2025")</f>
        <v/>
      </c>
      <c r="Y11792">
        <f>HYPERLINK("https://klasma.github.io/Logging_0685/tillsynsmail/A 1953-2025 tillsynsbegäran mail.docx", "A 1953-2025")</f>
        <v/>
      </c>
    </row>
    <row r="11793" ht="15" customHeight="1">
      <c r="A11793" t="inlineStr">
        <is>
          <t>A 2205-2025</t>
        </is>
      </c>
      <c r="B11793" s="1" t="n">
        <v>45673</v>
      </c>
      <c r="C11793" s="1" t="n">
        <v>45703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2172-2025</t>
        </is>
      </c>
      <c r="B11794" s="1" t="n">
        <v>45673</v>
      </c>
      <c r="C11794" s="1" t="n">
        <v>45703</v>
      </c>
      <c r="D11794" t="inlineStr">
        <is>
          <t>JÖNKÖPINGS LÄN</t>
        </is>
      </c>
      <c r="E11794" t="inlineStr">
        <is>
          <t>SÄVSJÖ</t>
        </is>
      </c>
      <c r="G11794" t="n">
        <v>0.5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2221-2025</t>
        </is>
      </c>
      <c r="B11795" s="1" t="n">
        <v>45673</v>
      </c>
      <c r="C11795" s="1" t="n">
        <v>45703</v>
      </c>
      <c r="D11795" t="inlineStr">
        <is>
          <t>JÖNKÖPINGS LÄN</t>
        </is>
      </c>
      <c r="E11795" t="inlineStr">
        <is>
          <t>VETLANDA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2219-2025</t>
        </is>
      </c>
      <c r="B11796" s="1" t="n">
        <v>45673</v>
      </c>
      <c r="C11796" s="1" t="n">
        <v>45703</v>
      </c>
      <c r="D11796" t="inlineStr">
        <is>
          <t>JÖNKÖPINGS LÄN</t>
        </is>
      </c>
      <c r="E11796" t="inlineStr">
        <is>
          <t>VÄRNAMO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2255-2025</t>
        </is>
      </c>
      <c r="B11797" s="1" t="n">
        <v>45673</v>
      </c>
      <c r="C11797" s="1" t="n">
        <v>45703</v>
      </c>
      <c r="D11797" t="inlineStr">
        <is>
          <t>JÖNKÖPINGS LÄN</t>
        </is>
      </c>
      <c r="E11797" t="inlineStr">
        <is>
          <t>VÄRNAMO</t>
        </is>
      </c>
      <c r="G11797" t="n">
        <v>8.300000000000001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2335-2025</t>
        </is>
      </c>
      <c r="B11798" s="1" t="n">
        <v>45673</v>
      </c>
      <c r="C11798" s="1" t="n">
        <v>45703</v>
      </c>
      <c r="D11798" t="inlineStr">
        <is>
          <t>JÖNKÖPINGS LÄN</t>
        </is>
      </c>
      <c r="E11798" t="inlineStr">
        <is>
          <t>NÄSSJÖ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45703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2294-2025</t>
        </is>
      </c>
      <c r="B11800" s="1" t="n">
        <v>45673</v>
      </c>
      <c r="C11800" s="1" t="n">
        <v>45703</v>
      </c>
      <c r="D11800" t="inlineStr">
        <is>
          <t>JÖNKÖPINGS LÄN</t>
        </is>
      </c>
      <c r="E11800" t="inlineStr">
        <is>
          <t>MULLSJÖ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2293-2025</t>
        </is>
      </c>
      <c r="B11801" s="1" t="n">
        <v>45673</v>
      </c>
      <c r="C11801" s="1" t="n">
        <v>45703</v>
      </c>
      <c r="D11801" t="inlineStr">
        <is>
          <t>JÖNKÖPINGS LÄN</t>
        </is>
      </c>
      <c r="E11801" t="inlineStr">
        <is>
          <t>MULLSJÖ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45703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45703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45703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2307-2025</t>
        </is>
      </c>
      <c r="B11805" s="1" t="n">
        <v>45673</v>
      </c>
      <c r="C11805" s="1" t="n">
        <v>45703</v>
      </c>
      <c r="D11805" t="inlineStr">
        <is>
          <t>JÖNKÖPINGS LÄN</t>
        </is>
      </c>
      <c r="E11805" t="inlineStr">
        <is>
          <t>GISLAVED</t>
        </is>
      </c>
      <c r="G11805" t="n">
        <v>4.5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2369-2025</t>
        </is>
      </c>
      <c r="B11806" s="1" t="n">
        <v>45673</v>
      </c>
      <c r="C11806" s="1" t="n">
        <v>45703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2365-2025</t>
        </is>
      </c>
      <c r="B11807" s="1" t="n">
        <v>45673</v>
      </c>
      <c r="C11807" s="1" t="n">
        <v>45703</v>
      </c>
      <c r="D11807" t="inlineStr">
        <is>
          <t>JÖNKÖPINGS LÄN</t>
        </is>
      </c>
      <c r="E11807" t="inlineStr">
        <is>
          <t>TRANÅS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2477-2025</t>
        </is>
      </c>
      <c r="B11808" s="1" t="n">
        <v>45674</v>
      </c>
      <c r="C11808" s="1" t="n">
        <v>45703</v>
      </c>
      <c r="D11808" t="inlineStr">
        <is>
          <t>JÖNKÖPINGS LÄN</t>
        </is>
      </c>
      <c r="E11808" t="inlineStr">
        <is>
          <t>VÄRNAMO</t>
        </is>
      </c>
      <c r="G11808" t="n">
        <v>2.6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2490-2025</t>
        </is>
      </c>
      <c r="B11809" s="1" t="n">
        <v>45674</v>
      </c>
      <c r="C11809" s="1" t="n">
        <v>45703</v>
      </c>
      <c r="D11809" t="inlineStr">
        <is>
          <t>JÖNKÖPINGS LÄN</t>
        </is>
      </c>
      <c r="E11809" t="inlineStr">
        <is>
          <t>VÄRNAMO</t>
        </is>
      </c>
      <c r="G11809" t="n">
        <v>3.1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2423-2025</t>
        </is>
      </c>
      <c r="B11810" s="1" t="n">
        <v>45674</v>
      </c>
      <c r="C11810" s="1" t="n">
        <v>45703</v>
      </c>
      <c r="D11810" t="inlineStr">
        <is>
          <t>JÖNKÖPINGS LÄN</t>
        </is>
      </c>
      <c r="E11810" t="inlineStr">
        <is>
          <t>VÄRNAMO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2424-2025</t>
        </is>
      </c>
      <c r="B11811" s="1" t="n">
        <v>45674</v>
      </c>
      <c r="C11811" s="1" t="n">
        <v>45703</v>
      </c>
      <c r="D11811" t="inlineStr">
        <is>
          <t>JÖNKÖPINGS LÄN</t>
        </is>
      </c>
      <c r="E11811" t="inlineStr">
        <is>
          <t>VÄRNAMO</t>
        </is>
      </c>
      <c r="G11811" t="n">
        <v>2.3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2435-2025</t>
        </is>
      </c>
      <c r="B11812" s="1" t="n">
        <v>45674</v>
      </c>
      <c r="C11812" s="1" t="n">
        <v>45703</v>
      </c>
      <c r="D11812" t="inlineStr">
        <is>
          <t>JÖNKÖPINGS LÄN</t>
        </is>
      </c>
      <c r="E11812" t="inlineStr">
        <is>
          <t>VÄRNAMO</t>
        </is>
      </c>
      <c r="G11812" t="n">
        <v>2.7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2465-2025</t>
        </is>
      </c>
      <c r="B11813" s="1" t="n">
        <v>45674</v>
      </c>
      <c r="C11813" s="1" t="n">
        <v>45703</v>
      </c>
      <c r="D11813" t="inlineStr">
        <is>
          <t>JÖNKÖPINGS LÄN</t>
        </is>
      </c>
      <c r="E11813" t="inlineStr">
        <is>
          <t>VETLANDA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2478-2025</t>
        </is>
      </c>
      <c r="B11814" s="1" t="n">
        <v>45674</v>
      </c>
      <c r="C11814" s="1" t="n">
        <v>45703</v>
      </c>
      <c r="D11814" t="inlineStr">
        <is>
          <t>JÖNKÖPINGS LÄN</t>
        </is>
      </c>
      <c r="E11814" t="inlineStr">
        <is>
          <t>VÄRNAMO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2496-2025</t>
        </is>
      </c>
      <c r="B11815" s="1" t="n">
        <v>45674</v>
      </c>
      <c r="C11815" s="1" t="n">
        <v>45703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2497-2025</t>
        </is>
      </c>
      <c r="B11816" s="1" t="n">
        <v>45674</v>
      </c>
      <c r="C11816" s="1" t="n">
        <v>45703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2501-2025</t>
        </is>
      </c>
      <c r="B11817" s="1" t="n">
        <v>45674</v>
      </c>
      <c r="C11817" s="1" t="n">
        <v>45703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45703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2530-2025</t>
        </is>
      </c>
      <c r="B11819" s="1" t="n">
        <v>45674</v>
      </c>
      <c r="C11819" s="1" t="n">
        <v>45703</v>
      </c>
      <c r="D11819" t="inlineStr">
        <is>
          <t>JÖNKÖPINGS LÄN</t>
        </is>
      </c>
      <c r="E11819" t="inlineStr">
        <is>
          <t>HABO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2459-2025</t>
        </is>
      </c>
      <c r="B11820" s="1" t="n">
        <v>45674</v>
      </c>
      <c r="C11820" s="1" t="n">
        <v>45703</v>
      </c>
      <c r="D11820" t="inlineStr">
        <is>
          <t>JÖNKÖPINGS LÄN</t>
        </is>
      </c>
      <c r="E11820" t="inlineStr">
        <is>
          <t>VETLANDA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2527-2025</t>
        </is>
      </c>
      <c r="B11821" s="1" t="n">
        <v>45674</v>
      </c>
      <c r="C11821" s="1" t="n">
        <v>45703</v>
      </c>
      <c r="D11821" t="inlineStr">
        <is>
          <t>JÖNKÖPINGS LÄN</t>
        </is>
      </c>
      <c r="E11821" t="inlineStr">
        <is>
          <t>HABO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2532-2025</t>
        </is>
      </c>
      <c r="B11822" s="1" t="n">
        <v>45674</v>
      </c>
      <c r="C11822" s="1" t="n">
        <v>45703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2536-2025</t>
        </is>
      </c>
      <c r="B11823" s="1" t="n">
        <v>45674</v>
      </c>
      <c r="C11823" s="1" t="n">
        <v>45703</v>
      </c>
      <c r="D11823" t="inlineStr">
        <is>
          <t>JÖNKÖPINGS LÄN</t>
        </is>
      </c>
      <c r="E11823" t="inlineStr">
        <is>
          <t>HABO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2384-2025</t>
        </is>
      </c>
      <c r="B11824" s="1" t="n">
        <v>45674</v>
      </c>
      <c r="C11824" s="1" t="n">
        <v>45703</v>
      </c>
      <c r="D11824" t="inlineStr">
        <is>
          <t>JÖNKÖPINGS LÄN</t>
        </is>
      </c>
      <c r="E11824" t="inlineStr">
        <is>
          <t>NÄSSJÖ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2473-2025</t>
        </is>
      </c>
      <c r="B11825" s="1" t="n">
        <v>45674</v>
      </c>
      <c r="C11825" s="1" t="n">
        <v>45703</v>
      </c>
      <c r="D11825" t="inlineStr">
        <is>
          <t>JÖNKÖPINGS LÄN</t>
        </is>
      </c>
      <c r="E11825" t="inlineStr">
        <is>
          <t>JÖNKÖPING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2439-2025</t>
        </is>
      </c>
      <c r="B11826" s="1" t="n">
        <v>45674</v>
      </c>
      <c r="C11826" s="1" t="n">
        <v>45703</v>
      </c>
      <c r="D11826" t="inlineStr">
        <is>
          <t>JÖNKÖPINGS LÄN</t>
        </is>
      </c>
      <c r="E11826" t="inlineStr">
        <is>
          <t>VÄRNAMO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45703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45703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45703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2622-2025</t>
        </is>
      </c>
      <c r="B11830" s="1" t="n">
        <v>45675</v>
      </c>
      <c r="C11830" s="1" t="n">
        <v>45703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2623-2025</t>
        </is>
      </c>
      <c r="B11831" s="1" t="n">
        <v>45675</v>
      </c>
      <c r="C11831" s="1" t="n">
        <v>45703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2647-2025</t>
        </is>
      </c>
      <c r="B11832" s="1" t="n">
        <v>45676</v>
      </c>
      <c r="C11832" s="1" t="n">
        <v>45703</v>
      </c>
      <c r="D11832" t="inlineStr">
        <is>
          <t>JÖNKÖPINGS LÄN</t>
        </is>
      </c>
      <c r="E11832" t="inlineStr">
        <is>
          <t>GISLAVED</t>
        </is>
      </c>
      <c r="G11832" t="n">
        <v>1.1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2651-2025</t>
        </is>
      </c>
      <c r="B11833" s="1" t="n">
        <v>45676</v>
      </c>
      <c r="C11833" s="1" t="n">
        <v>45703</v>
      </c>
      <c r="D11833" t="inlineStr">
        <is>
          <t>JÖNKÖPINGS LÄN</t>
        </is>
      </c>
      <c r="E11833" t="inlineStr">
        <is>
          <t>VAGGERYD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2655-2025</t>
        </is>
      </c>
      <c r="B11834" s="1" t="n">
        <v>45676</v>
      </c>
      <c r="C11834" s="1" t="n">
        <v>45703</v>
      </c>
      <c r="D11834" t="inlineStr">
        <is>
          <t>JÖNKÖPINGS LÄN</t>
        </is>
      </c>
      <c r="E11834" t="inlineStr">
        <is>
          <t>VÄRNAMO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45703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45703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45703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2656-2025</t>
        </is>
      </c>
      <c r="B11838" s="1" t="n">
        <v>45676</v>
      </c>
      <c r="C11838" s="1" t="n">
        <v>45703</v>
      </c>
      <c r="D11838" t="inlineStr">
        <is>
          <t>JÖNKÖPINGS LÄN</t>
        </is>
      </c>
      <c r="E11838" t="inlineStr">
        <is>
          <t>VÄRNAMO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45703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2684-2025</t>
        </is>
      </c>
      <c r="B11840" s="1" t="n">
        <v>45677</v>
      </c>
      <c r="C11840" s="1" t="n">
        <v>45703</v>
      </c>
      <c r="D11840" t="inlineStr">
        <is>
          <t>JÖNKÖPINGS LÄN</t>
        </is>
      </c>
      <c r="E11840" t="inlineStr">
        <is>
          <t>NÄSSJÖ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2710-2025</t>
        </is>
      </c>
      <c r="B11841" s="1" t="n">
        <v>45677</v>
      </c>
      <c r="C11841" s="1" t="n">
        <v>45703</v>
      </c>
      <c r="D11841" t="inlineStr">
        <is>
          <t>JÖNKÖPINGS LÄN</t>
        </is>
      </c>
      <c r="E11841" t="inlineStr">
        <is>
          <t>NÄSSJÖ</t>
        </is>
      </c>
      <c r="G11841" t="n">
        <v>4.6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2714-2025</t>
        </is>
      </c>
      <c r="B11842" s="1" t="n">
        <v>45677</v>
      </c>
      <c r="C11842" s="1" t="n">
        <v>45703</v>
      </c>
      <c r="D11842" t="inlineStr">
        <is>
          <t>JÖNKÖPINGS LÄN</t>
        </is>
      </c>
      <c r="E11842" t="inlineStr">
        <is>
          <t>NÄSSJÖ</t>
        </is>
      </c>
      <c r="G11842" t="n">
        <v>1.2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2812-2025</t>
        </is>
      </c>
      <c r="B11843" s="1" t="n">
        <v>45677</v>
      </c>
      <c r="C11843" s="1" t="n">
        <v>45703</v>
      </c>
      <c r="D11843" t="inlineStr">
        <is>
          <t>JÖNKÖPINGS LÄN</t>
        </is>
      </c>
      <c r="E11843" t="inlineStr">
        <is>
          <t>VETLANDA</t>
        </is>
      </c>
      <c r="G11843" t="n">
        <v>1.8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2820-2025</t>
        </is>
      </c>
      <c r="B11844" s="1" t="n">
        <v>45677</v>
      </c>
      <c r="C11844" s="1" t="n">
        <v>45703</v>
      </c>
      <c r="D11844" t="inlineStr">
        <is>
          <t>JÖNKÖPINGS LÄN</t>
        </is>
      </c>
      <c r="E11844" t="inlineStr">
        <is>
          <t>GISLAVED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2712-2025</t>
        </is>
      </c>
      <c r="B11845" s="1" t="n">
        <v>45677</v>
      </c>
      <c r="C11845" s="1" t="n">
        <v>45703</v>
      </c>
      <c r="D11845" t="inlineStr">
        <is>
          <t>JÖNKÖPINGS LÄN</t>
        </is>
      </c>
      <c r="E11845" t="inlineStr">
        <is>
          <t>NÄSSJÖ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2825-2025</t>
        </is>
      </c>
      <c r="B11846" s="1" t="n">
        <v>45677</v>
      </c>
      <c r="C11846" s="1" t="n">
        <v>45703</v>
      </c>
      <c r="D11846" t="inlineStr">
        <is>
          <t>JÖNKÖPINGS LÄN</t>
        </is>
      </c>
      <c r="E11846" t="inlineStr">
        <is>
          <t>GISLAVED</t>
        </is>
      </c>
      <c r="G11846" t="n">
        <v>1.7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2828-2025</t>
        </is>
      </c>
      <c r="B11847" s="1" t="n">
        <v>45677</v>
      </c>
      <c r="C11847" s="1" t="n">
        <v>45703</v>
      </c>
      <c r="D11847" t="inlineStr">
        <is>
          <t>JÖNKÖPINGS LÄN</t>
        </is>
      </c>
      <c r="E11847" t="inlineStr">
        <is>
          <t>EKSJÖ</t>
        </is>
      </c>
      <c r="G11847" t="n">
        <v>5.4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45703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45703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45703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45703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2851-2025</t>
        </is>
      </c>
      <c r="B11852" s="1" t="n">
        <v>45677</v>
      </c>
      <c r="C11852" s="1" t="n">
        <v>45703</v>
      </c>
      <c r="D11852" t="inlineStr">
        <is>
          <t>JÖNKÖPINGS LÄN</t>
        </is>
      </c>
      <c r="E11852" t="inlineStr">
        <is>
          <t>EKSJÖ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2901-2025</t>
        </is>
      </c>
      <c r="B11853" s="1" t="n">
        <v>45677</v>
      </c>
      <c r="C11853" s="1" t="n">
        <v>45703</v>
      </c>
      <c r="D11853" t="inlineStr">
        <is>
          <t>JÖNKÖPINGS LÄN</t>
        </is>
      </c>
      <c r="E11853" t="inlineStr">
        <is>
          <t>EKSJÖ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2928-2025</t>
        </is>
      </c>
      <c r="B11854" s="1" t="n">
        <v>45677</v>
      </c>
      <c r="C11854" s="1" t="n">
        <v>45703</v>
      </c>
      <c r="D11854" t="inlineStr">
        <is>
          <t>JÖNKÖPINGS LÄN</t>
        </is>
      </c>
      <c r="E11854" t="inlineStr">
        <is>
          <t>VETLANDA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3065-2025</t>
        </is>
      </c>
      <c r="B11855" s="1" t="n">
        <v>45678</v>
      </c>
      <c r="C11855" s="1" t="n">
        <v>45703</v>
      </c>
      <c r="D11855" t="inlineStr">
        <is>
          <t>JÖNKÖPINGS LÄN</t>
        </is>
      </c>
      <c r="E11855" t="inlineStr">
        <is>
          <t>GISLAVED</t>
        </is>
      </c>
      <c r="G11855" t="n">
        <v>5.4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2977-2025</t>
        </is>
      </c>
      <c r="B11856" s="1" t="n">
        <v>45678</v>
      </c>
      <c r="C11856" s="1" t="n">
        <v>45703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3051-2025</t>
        </is>
      </c>
      <c r="B11857" s="1" t="n">
        <v>45678</v>
      </c>
      <c r="C11857" s="1" t="n">
        <v>45703</v>
      </c>
      <c r="D11857" t="inlineStr">
        <is>
          <t>JÖNKÖPINGS LÄN</t>
        </is>
      </c>
      <c r="E11857" t="inlineStr">
        <is>
          <t>VÄRNAMO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3079-2025</t>
        </is>
      </c>
      <c r="B11858" s="1" t="n">
        <v>45678</v>
      </c>
      <c r="C11858" s="1" t="n">
        <v>45703</v>
      </c>
      <c r="D11858" t="inlineStr">
        <is>
          <t>JÖNKÖPINGS LÄN</t>
        </is>
      </c>
      <c r="E11858" t="inlineStr">
        <is>
          <t>GISLAVED</t>
        </is>
      </c>
      <c r="G11858" t="n">
        <v>6.2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2976-2025</t>
        </is>
      </c>
      <c r="B11859" s="1" t="n">
        <v>45678</v>
      </c>
      <c r="C11859" s="1" t="n">
        <v>45703</v>
      </c>
      <c r="D11859" t="inlineStr">
        <is>
          <t>JÖNKÖPINGS LÄN</t>
        </is>
      </c>
      <c r="E11859" t="inlineStr">
        <is>
          <t>VETLANDA</t>
        </is>
      </c>
      <c r="G11859" t="n">
        <v>7.3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3074-2025</t>
        </is>
      </c>
      <c r="B11860" s="1" t="n">
        <v>45678</v>
      </c>
      <c r="C11860" s="1" t="n">
        <v>45703</v>
      </c>
      <c r="D11860" t="inlineStr">
        <is>
          <t>JÖNKÖPINGS LÄN</t>
        </is>
      </c>
      <c r="E11860" t="inlineStr">
        <is>
          <t>GISLAVED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3024-2025</t>
        </is>
      </c>
      <c r="B11861" s="1" t="n">
        <v>45678</v>
      </c>
      <c r="C11861" s="1" t="n">
        <v>45703</v>
      </c>
      <c r="D11861" t="inlineStr">
        <is>
          <t>JÖNKÖPINGS LÄN</t>
        </is>
      </c>
      <c r="E11861" t="inlineStr">
        <is>
          <t>VÄRNAMO</t>
        </is>
      </c>
      <c r="G11861" t="n">
        <v>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3052-2025</t>
        </is>
      </c>
      <c r="B11862" s="1" t="n">
        <v>45678</v>
      </c>
      <c r="C11862" s="1" t="n">
        <v>45703</v>
      </c>
      <c r="D11862" t="inlineStr">
        <is>
          <t>JÖNKÖPINGS LÄN</t>
        </is>
      </c>
      <c r="E11862" t="inlineStr">
        <is>
          <t>GISLAVED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3068-2025</t>
        </is>
      </c>
      <c r="B11863" s="1" t="n">
        <v>45678</v>
      </c>
      <c r="C11863" s="1" t="n">
        <v>45703</v>
      </c>
      <c r="D11863" t="inlineStr">
        <is>
          <t>JÖNKÖPINGS LÄN</t>
        </is>
      </c>
      <c r="E11863" t="inlineStr">
        <is>
          <t>GISLAVED</t>
        </is>
      </c>
      <c r="G11863" t="n">
        <v>2.5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45703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45703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3113-2025</t>
        </is>
      </c>
      <c r="B11866" s="1" t="n">
        <v>45678</v>
      </c>
      <c r="C11866" s="1" t="n">
        <v>45703</v>
      </c>
      <c r="D11866" t="inlineStr">
        <is>
          <t>JÖNKÖPINGS LÄN</t>
        </is>
      </c>
      <c r="E11866" t="inlineStr">
        <is>
          <t>VAGGERYD</t>
        </is>
      </c>
      <c r="G11866" t="n">
        <v>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45703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3017-2025</t>
        </is>
      </c>
      <c r="B11868" s="1" t="n">
        <v>45678</v>
      </c>
      <c r="C11868" s="1" t="n">
        <v>45703</v>
      </c>
      <c r="D11868" t="inlineStr">
        <is>
          <t>JÖNKÖPINGS LÄN</t>
        </is>
      </c>
      <c r="E11868" t="inlineStr">
        <is>
          <t>VÄRNAMO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3160-2025</t>
        </is>
      </c>
      <c r="B11869" s="1" t="n">
        <v>45679</v>
      </c>
      <c r="C11869" s="1" t="n">
        <v>45703</v>
      </c>
      <c r="D11869" t="inlineStr">
        <is>
          <t>JÖNKÖPINGS LÄN</t>
        </is>
      </c>
      <c r="E11869" t="inlineStr">
        <is>
          <t>NÄSSJÖ</t>
        </is>
      </c>
      <c r="G11869" t="n">
        <v>1.2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3171-2025</t>
        </is>
      </c>
      <c r="B11870" s="1" t="n">
        <v>45679</v>
      </c>
      <c r="C11870" s="1" t="n">
        <v>45703</v>
      </c>
      <c r="D11870" t="inlineStr">
        <is>
          <t>JÖNKÖPINGS LÄN</t>
        </is>
      </c>
      <c r="E11870" t="inlineStr">
        <is>
          <t>JÖNKÖPING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3353-2025</t>
        </is>
      </c>
      <c r="B11871" s="1" t="n">
        <v>45679</v>
      </c>
      <c r="C11871" s="1" t="n">
        <v>45703</v>
      </c>
      <c r="D11871" t="inlineStr">
        <is>
          <t>JÖNKÖPINGS LÄN</t>
        </is>
      </c>
      <c r="E11871" t="inlineStr">
        <is>
          <t>HABO</t>
        </is>
      </c>
      <c r="G11871" t="n">
        <v>1.8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3360-2025</t>
        </is>
      </c>
      <c r="B11872" s="1" t="n">
        <v>45680</v>
      </c>
      <c r="C11872" s="1" t="n">
        <v>45703</v>
      </c>
      <c r="D11872" t="inlineStr">
        <is>
          <t>JÖNKÖPINGS LÄN</t>
        </is>
      </c>
      <c r="E11872" t="inlineStr">
        <is>
          <t>JÖNKÖPING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3364-2025</t>
        </is>
      </c>
      <c r="B11873" s="1" t="n">
        <v>45680</v>
      </c>
      <c r="C11873" s="1" t="n">
        <v>45703</v>
      </c>
      <c r="D11873" t="inlineStr">
        <is>
          <t>JÖNKÖPINGS LÄN</t>
        </is>
      </c>
      <c r="E11873" t="inlineStr">
        <is>
          <t>JÖNKÖPING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3177-2025</t>
        </is>
      </c>
      <c r="B11874" s="1" t="n">
        <v>45679</v>
      </c>
      <c r="C11874" s="1" t="n">
        <v>45703</v>
      </c>
      <c r="D11874" t="inlineStr">
        <is>
          <t>JÖNKÖPINGS LÄN</t>
        </is>
      </c>
      <c r="E11874" t="inlineStr">
        <is>
          <t>SÄVSJÖ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3359-2025</t>
        </is>
      </c>
      <c r="B11875" s="1" t="n">
        <v>45680</v>
      </c>
      <c r="C11875" s="1" t="n">
        <v>45703</v>
      </c>
      <c r="D11875" t="inlineStr">
        <is>
          <t>JÖNKÖPINGS LÄN</t>
        </is>
      </c>
      <c r="E11875" t="inlineStr">
        <is>
          <t>JÖNKÖPING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3363-2025</t>
        </is>
      </c>
      <c r="B11876" s="1" t="n">
        <v>45680</v>
      </c>
      <c r="C11876" s="1" t="n">
        <v>45703</v>
      </c>
      <c r="D11876" t="inlineStr">
        <is>
          <t>JÖNKÖPINGS LÄN</t>
        </is>
      </c>
      <c r="E11876" t="inlineStr">
        <is>
          <t>JÖNKÖPING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3358-2025</t>
        </is>
      </c>
      <c r="B11877" s="1" t="n">
        <v>45680</v>
      </c>
      <c r="C11877" s="1" t="n">
        <v>45703</v>
      </c>
      <c r="D11877" t="inlineStr">
        <is>
          <t>JÖNKÖPINGS LÄN</t>
        </is>
      </c>
      <c r="E11877" t="inlineStr">
        <is>
          <t>JÖNKÖPING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3386-2025</t>
        </is>
      </c>
      <c r="B11878" s="1" t="n">
        <v>45680</v>
      </c>
      <c r="C11878" s="1" t="n">
        <v>45703</v>
      </c>
      <c r="D11878" t="inlineStr">
        <is>
          <t>JÖNKÖPINGS LÄN</t>
        </is>
      </c>
      <c r="E11878" t="inlineStr">
        <is>
          <t>NÄSSJÖ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3394-2025</t>
        </is>
      </c>
      <c r="B11879" s="1" t="n">
        <v>45680</v>
      </c>
      <c r="C11879" s="1" t="n">
        <v>45703</v>
      </c>
      <c r="D11879" t="inlineStr">
        <is>
          <t>JÖNKÖPINGS LÄN</t>
        </is>
      </c>
      <c r="E11879" t="inlineStr">
        <is>
          <t>NÄSSJÖ</t>
        </is>
      </c>
      <c r="G11879" t="n">
        <v>1.4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3484-2025</t>
        </is>
      </c>
      <c r="B11880" s="1" t="n">
        <v>45680</v>
      </c>
      <c r="C11880" s="1" t="n">
        <v>45703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4.7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3492-2025</t>
        </is>
      </c>
      <c r="B11881" s="1" t="n">
        <v>45680</v>
      </c>
      <c r="C11881" s="1" t="n">
        <v>45703</v>
      </c>
      <c r="D11881" t="inlineStr">
        <is>
          <t>JÖNKÖPINGS LÄN</t>
        </is>
      </c>
      <c r="E11881" t="inlineStr">
        <is>
          <t>GISLAVED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3496-2025</t>
        </is>
      </c>
      <c r="B11882" s="1" t="n">
        <v>45680</v>
      </c>
      <c r="C11882" s="1" t="n">
        <v>45703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45703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45703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3379-2025</t>
        </is>
      </c>
      <c r="B11885" s="1" t="n">
        <v>45680</v>
      </c>
      <c r="C11885" s="1" t="n">
        <v>45703</v>
      </c>
      <c r="D11885" t="inlineStr">
        <is>
          <t>JÖNKÖPINGS LÄN</t>
        </is>
      </c>
      <c r="E11885" t="inlineStr">
        <is>
          <t>HABO</t>
        </is>
      </c>
      <c r="G11885" t="n">
        <v>2.9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3433-2025</t>
        </is>
      </c>
      <c r="B11886" s="1" t="n">
        <v>45680</v>
      </c>
      <c r="C11886" s="1" t="n">
        <v>45703</v>
      </c>
      <c r="D11886" t="inlineStr">
        <is>
          <t>JÖNKÖPINGS LÄN</t>
        </is>
      </c>
      <c r="E11886" t="inlineStr">
        <is>
          <t>SÄVSJÖ</t>
        </is>
      </c>
      <c r="G11886" t="n">
        <v>5.7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3526-2025</t>
        </is>
      </c>
      <c r="B11887" s="1" t="n">
        <v>45680</v>
      </c>
      <c r="C11887" s="1" t="n">
        <v>45703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Övriga Aktiebolag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45703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45703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3621-2025</t>
        </is>
      </c>
      <c r="B11890" s="1" t="n">
        <v>45681</v>
      </c>
      <c r="C11890" s="1" t="n">
        <v>45703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3625-2025</t>
        </is>
      </c>
      <c r="B11891" s="1" t="n">
        <v>45681</v>
      </c>
      <c r="C11891" s="1" t="n">
        <v>45703</v>
      </c>
      <c r="D11891" t="inlineStr">
        <is>
          <t>JÖNKÖPINGS LÄN</t>
        </is>
      </c>
      <c r="E11891" t="inlineStr">
        <is>
          <t>VETLANDA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3633-2025</t>
        </is>
      </c>
      <c r="B11892" s="1" t="n">
        <v>45681</v>
      </c>
      <c r="C11892" s="1" t="n">
        <v>45703</v>
      </c>
      <c r="D11892" t="inlineStr">
        <is>
          <t>JÖNKÖPINGS LÄN</t>
        </is>
      </c>
      <c r="E11892" t="inlineStr">
        <is>
          <t>VETLANDA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45703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3707-2025</t>
        </is>
      </c>
      <c r="B11894" s="1" t="n">
        <v>45681</v>
      </c>
      <c r="C11894" s="1" t="n">
        <v>45703</v>
      </c>
      <c r="D11894" t="inlineStr">
        <is>
          <t>JÖNKÖPINGS LÄN</t>
        </is>
      </c>
      <c r="E11894" t="inlineStr">
        <is>
          <t>VAGGERYD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3683-2025</t>
        </is>
      </c>
      <c r="B11895" s="1" t="n">
        <v>45681</v>
      </c>
      <c r="C11895" s="1" t="n">
        <v>45703</v>
      </c>
      <c r="D11895" t="inlineStr">
        <is>
          <t>JÖNKÖPINGS LÄN</t>
        </is>
      </c>
      <c r="E11895" t="inlineStr">
        <is>
          <t>VETLANDA</t>
        </is>
      </c>
      <c r="G11895" t="n">
        <v>5.5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3709-2025</t>
        </is>
      </c>
      <c r="B11896" s="1" t="n">
        <v>45681</v>
      </c>
      <c r="C11896" s="1" t="n">
        <v>45703</v>
      </c>
      <c r="D11896" t="inlineStr">
        <is>
          <t>JÖNKÖPINGS LÄN</t>
        </is>
      </c>
      <c r="E11896" t="inlineStr">
        <is>
          <t>VAGGERYD</t>
        </is>
      </c>
      <c r="G11896" t="n">
        <v>3.5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3706-2025</t>
        </is>
      </c>
      <c r="B11897" s="1" t="n">
        <v>45681</v>
      </c>
      <c r="C11897" s="1" t="n">
        <v>45703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3730-2025</t>
        </is>
      </c>
      <c r="B11898" s="1" t="n">
        <v>45681</v>
      </c>
      <c r="C11898" s="1" t="n">
        <v>45703</v>
      </c>
      <c r="D11898" t="inlineStr">
        <is>
          <t>JÖNKÖPINGS LÄN</t>
        </is>
      </c>
      <c r="E11898" t="inlineStr">
        <is>
          <t>JÖNKÖPING</t>
        </is>
      </c>
      <c r="G11898" t="n">
        <v>4.9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3742-2025</t>
        </is>
      </c>
      <c r="B11899" s="1" t="n">
        <v>45681</v>
      </c>
      <c r="C11899" s="1" t="n">
        <v>45703</v>
      </c>
      <c r="D11899" t="inlineStr">
        <is>
          <t>JÖNKÖPINGS LÄN</t>
        </is>
      </c>
      <c r="E11899" t="inlineStr">
        <is>
          <t>JÖNKÖPING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45703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3724-2025</t>
        </is>
      </c>
      <c r="B11901" s="1" t="n">
        <v>45681</v>
      </c>
      <c r="C11901" s="1" t="n">
        <v>45703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45703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3835-2025</t>
        </is>
      </c>
      <c r="B11903" s="1" t="n">
        <v>45682</v>
      </c>
      <c r="C11903" s="1" t="n">
        <v>45703</v>
      </c>
      <c r="D11903" t="inlineStr">
        <is>
          <t>JÖNKÖPINGS LÄN</t>
        </is>
      </c>
      <c r="E11903" t="inlineStr">
        <is>
          <t>JÖNKÖPING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3837-2025</t>
        </is>
      </c>
      <c r="B11904" s="1" t="n">
        <v>45682</v>
      </c>
      <c r="C11904" s="1" t="n">
        <v>45703</v>
      </c>
      <c r="D11904" t="inlineStr">
        <is>
          <t>JÖNKÖPINGS LÄN</t>
        </is>
      </c>
      <c r="E11904" t="inlineStr">
        <is>
          <t>MULLSJÖ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45703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3854-2025</t>
        </is>
      </c>
      <c r="B11906" s="1" t="n">
        <v>45684</v>
      </c>
      <c r="C11906" s="1" t="n">
        <v>45703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3868-2025</t>
        </is>
      </c>
      <c r="B11907" s="1" t="n">
        <v>45684</v>
      </c>
      <c r="C11907" s="1" t="n">
        <v>45703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3899-2025</t>
        </is>
      </c>
      <c r="B11908" s="1" t="n">
        <v>45684</v>
      </c>
      <c r="C11908" s="1" t="n">
        <v>45703</v>
      </c>
      <c r="D11908" t="inlineStr">
        <is>
          <t>JÖNKÖPINGS LÄN</t>
        </is>
      </c>
      <c r="E11908" t="inlineStr">
        <is>
          <t>VÄRNAMO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4066-2025</t>
        </is>
      </c>
      <c r="B11909" s="1" t="n">
        <v>45684</v>
      </c>
      <c r="C11909" s="1" t="n">
        <v>45703</v>
      </c>
      <c r="D11909" t="inlineStr">
        <is>
          <t>JÖNKÖPINGS LÄN</t>
        </is>
      </c>
      <c r="E11909" t="inlineStr">
        <is>
          <t>VETLANDA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4070-2025</t>
        </is>
      </c>
      <c r="B11910" s="1" t="n">
        <v>45684</v>
      </c>
      <c r="C11910" s="1" t="n">
        <v>45703</v>
      </c>
      <c r="D11910" t="inlineStr">
        <is>
          <t>JÖNKÖPINGS LÄN</t>
        </is>
      </c>
      <c r="E11910" t="inlineStr">
        <is>
          <t>VETLANDA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3897-2025</t>
        </is>
      </c>
      <c r="B11911" s="1" t="n">
        <v>45684</v>
      </c>
      <c r="C11911" s="1" t="n">
        <v>45703</v>
      </c>
      <c r="D11911" t="inlineStr">
        <is>
          <t>JÖNKÖPINGS LÄN</t>
        </is>
      </c>
      <c r="E11911" t="inlineStr">
        <is>
          <t>VÄRNAMO</t>
        </is>
      </c>
      <c r="G11911" t="n">
        <v>3.5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3901-2025</t>
        </is>
      </c>
      <c r="B11912" s="1" t="n">
        <v>45684</v>
      </c>
      <c r="C11912" s="1" t="n">
        <v>45703</v>
      </c>
      <c r="D11912" t="inlineStr">
        <is>
          <t>JÖNKÖPINGS LÄN</t>
        </is>
      </c>
      <c r="E11912" t="inlineStr">
        <is>
          <t>VÄRNAMO</t>
        </is>
      </c>
      <c r="G11912" t="n">
        <v>10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3898-2025</t>
        </is>
      </c>
      <c r="B11913" s="1" t="n">
        <v>45684</v>
      </c>
      <c r="C11913" s="1" t="n">
        <v>45703</v>
      </c>
      <c r="D11913" t="inlineStr">
        <is>
          <t>JÖNKÖPINGS LÄN</t>
        </is>
      </c>
      <c r="E11913" t="inlineStr">
        <is>
          <t>VÄRNAMO</t>
        </is>
      </c>
      <c r="G11913" t="n">
        <v>6.6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3903-2025</t>
        </is>
      </c>
      <c r="B11914" s="1" t="n">
        <v>45684</v>
      </c>
      <c r="C11914" s="1" t="n">
        <v>45703</v>
      </c>
      <c r="D11914" t="inlineStr">
        <is>
          <t>JÖNKÖPINGS LÄN</t>
        </is>
      </c>
      <c r="E11914" t="inlineStr">
        <is>
          <t>VÄRNAMO</t>
        </is>
      </c>
      <c r="F11914" t="inlineStr">
        <is>
          <t>Sveaskog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4025-2025</t>
        </is>
      </c>
      <c r="B11915" s="1" t="n">
        <v>45684</v>
      </c>
      <c r="C11915" s="1" t="n">
        <v>45703</v>
      </c>
      <c r="D11915" t="inlineStr">
        <is>
          <t>JÖNKÖPINGS LÄN</t>
        </is>
      </c>
      <c r="E11915" t="inlineStr">
        <is>
          <t>GISLAVED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4061-2025</t>
        </is>
      </c>
      <c r="B11916" s="1" t="n">
        <v>45684</v>
      </c>
      <c r="C11916" s="1" t="n">
        <v>45703</v>
      </c>
      <c r="D11916" t="inlineStr">
        <is>
          <t>JÖNKÖPINGS LÄN</t>
        </is>
      </c>
      <c r="E11916" t="inlineStr">
        <is>
          <t>VETLANDA</t>
        </is>
      </c>
      <c r="F11916" t="inlineStr">
        <is>
          <t>Sveaskog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4081-2025</t>
        </is>
      </c>
      <c r="B11917" s="1" t="n">
        <v>45684</v>
      </c>
      <c r="C11917" s="1" t="n">
        <v>45703</v>
      </c>
      <c r="D11917" t="inlineStr">
        <is>
          <t>JÖNKÖPINGS LÄN</t>
        </is>
      </c>
      <c r="E11917" t="inlineStr">
        <is>
          <t>SÄVSJÖ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3900-2025</t>
        </is>
      </c>
      <c r="B11918" s="1" t="n">
        <v>45684</v>
      </c>
      <c r="C11918" s="1" t="n">
        <v>45703</v>
      </c>
      <c r="D11918" t="inlineStr">
        <is>
          <t>JÖNKÖPINGS LÄN</t>
        </is>
      </c>
      <c r="E11918" t="inlineStr">
        <is>
          <t>VÄRNAMO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3905-2025</t>
        </is>
      </c>
      <c r="B11919" s="1" t="n">
        <v>45684</v>
      </c>
      <c r="C11919" s="1" t="n">
        <v>45703</v>
      </c>
      <c r="D11919" t="inlineStr">
        <is>
          <t>JÖNKÖPINGS LÄN</t>
        </is>
      </c>
      <c r="E11919" t="inlineStr">
        <is>
          <t>VÄRNAMO</t>
        </is>
      </c>
      <c r="F11919" t="inlineStr">
        <is>
          <t>Sveaskog</t>
        </is>
      </c>
      <c r="G11919" t="n">
        <v>4.4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3921-2025</t>
        </is>
      </c>
      <c r="B11920" s="1" t="n">
        <v>45684</v>
      </c>
      <c r="C11920" s="1" t="n">
        <v>45703</v>
      </c>
      <c r="D11920" t="inlineStr">
        <is>
          <t>JÖNKÖPINGS LÄN</t>
        </is>
      </c>
      <c r="E11920" t="inlineStr">
        <is>
          <t>TRANÅS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45703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45703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45703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45703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45703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45703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45703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4153-2025</t>
        </is>
      </c>
      <c r="B11928" s="1" t="n">
        <v>45685</v>
      </c>
      <c r="C11928" s="1" t="n">
        <v>45703</v>
      </c>
      <c r="D11928" t="inlineStr">
        <is>
          <t>JÖNKÖPINGS LÄN</t>
        </is>
      </c>
      <c r="E11928" t="inlineStr">
        <is>
          <t>TRANÅS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4138-2025</t>
        </is>
      </c>
      <c r="B11929" s="1" t="n">
        <v>45685</v>
      </c>
      <c r="C11929" s="1" t="n">
        <v>45703</v>
      </c>
      <c r="D11929" t="inlineStr">
        <is>
          <t>JÖNKÖPINGS LÄN</t>
        </is>
      </c>
      <c r="E11929" t="inlineStr">
        <is>
          <t>JÖNKÖPING</t>
        </is>
      </c>
      <c r="G11929" t="n">
        <v>1.2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4233-2025</t>
        </is>
      </c>
      <c r="B11930" s="1" t="n">
        <v>45685</v>
      </c>
      <c r="C11930" s="1" t="n">
        <v>45703</v>
      </c>
      <c r="D11930" t="inlineStr">
        <is>
          <t>JÖNKÖPINGS LÄN</t>
        </is>
      </c>
      <c r="E11930" t="inlineStr">
        <is>
          <t>TRANÅS</t>
        </is>
      </c>
      <c r="G11930" t="n">
        <v>6.3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4296-2025</t>
        </is>
      </c>
      <c r="B11931" s="1" t="n">
        <v>45685</v>
      </c>
      <c r="C11931" s="1" t="n">
        <v>45703</v>
      </c>
      <c r="D11931" t="inlineStr">
        <is>
          <t>JÖNKÖPINGS LÄN</t>
        </is>
      </c>
      <c r="E11931" t="inlineStr">
        <is>
          <t>SÄVSJÖ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4306-2025</t>
        </is>
      </c>
      <c r="B11932" s="1" t="n">
        <v>45685</v>
      </c>
      <c r="C11932" s="1" t="n">
        <v>45703</v>
      </c>
      <c r="D11932" t="inlineStr">
        <is>
          <t>JÖNKÖPINGS LÄN</t>
        </is>
      </c>
      <c r="E11932" t="inlineStr">
        <is>
          <t>NÄSSJÖ</t>
        </is>
      </c>
      <c r="G11932" t="n">
        <v>1.8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4151-2025</t>
        </is>
      </c>
      <c r="B11933" s="1" t="n">
        <v>45685</v>
      </c>
      <c r="C11933" s="1" t="n">
        <v>45703</v>
      </c>
      <c r="D11933" t="inlineStr">
        <is>
          <t>JÖNKÖPINGS LÄN</t>
        </is>
      </c>
      <c r="E11933" t="inlineStr">
        <is>
          <t>SÄVSJÖ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4327-2025</t>
        </is>
      </c>
      <c r="B11934" s="1" t="n">
        <v>45685</v>
      </c>
      <c r="C11934" s="1" t="n">
        <v>45703</v>
      </c>
      <c r="D11934" t="inlineStr">
        <is>
          <t>JÖNKÖPINGS LÄN</t>
        </is>
      </c>
      <c r="E11934" t="inlineStr">
        <is>
          <t>NÄSSJÖ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4426-2025</t>
        </is>
      </c>
      <c r="B11935" s="1" t="n">
        <v>45686</v>
      </c>
      <c r="C11935" s="1" t="n">
        <v>45703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Övriga Aktiebolag</t>
        </is>
      </c>
      <c r="G11935" t="n">
        <v>3.5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4439-2025</t>
        </is>
      </c>
      <c r="B11936" s="1" t="n">
        <v>45686</v>
      </c>
      <c r="C11936" s="1" t="n">
        <v>45703</v>
      </c>
      <c r="D11936" t="inlineStr">
        <is>
          <t>JÖNKÖPINGS LÄN</t>
        </is>
      </c>
      <c r="E11936" t="inlineStr">
        <is>
          <t>EKSJÖ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4438-2025</t>
        </is>
      </c>
      <c r="B11937" s="1" t="n">
        <v>45686</v>
      </c>
      <c r="C11937" s="1" t="n">
        <v>45703</v>
      </c>
      <c r="D11937" t="inlineStr">
        <is>
          <t>JÖNKÖPINGS LÄN</t>
        </is>
      </c>
      <c r="E11937" t="inlineStr">
        <is>
          <t>MULLSJÖ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4549-2025</t>
        </is>
      </c>
      <c r="B11938" s="1" t="n">
        <v>45687</v>
      </c>
      <c r="C11938" s="1" t="n">
        <v>45703</v>
      </c>
      <c r="D11938" t="inlineStr">
        <is>
          <t>JÖNKÖPINGS LÄN</t>
        </is>
      </c>
      <c r="E11938" t="inlineStr">
        <is>
          <t>HABO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4551-2025</t>
        </is>
      </c>
      <c r="B11939" s="1" t="n">
        <v>45687</v>
      </c>
      <c r="C11939" s="1" t="n">
        <v>45703</v>
      </c>
      <c r="D11939" t="inlineStr">
        <is>
          <t>JÖNKÖPINGS LÄN</t>
        </is>
      </c>
      <c r="E11939" t="inlineStr">
        <is>
          <t>HABO</t>
        </is>
      </c>
      <c r="G11939" t="n">
        <v>0.4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4546-2025</t>
        </is>
      </c>
      <c r="B11940" s="1" t="n">
        <v>45687</v>
      </c>
      <c r="C11940" s="1" t="n">
        <v>45703</v>
      </c>
      <c r="D11940" t="inlineStr">
        <is>
          <t>JÖNKÖPINGS LÄN</t>
        </is>
      </c>
      <c r="E11940" t="inlineStr">
        <is>
          <t>HABO</t>
        </is>
      </c>
      <c r="G11940" t="n">
        <v>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4554-2025</t>
        </is>
      </c>
      <c r="B11941" s="1" t="n">
        <v>45687</v>
      </c>
      <c r="C11941" s="1" t="n">
        <v>45703</v>
      </c>
      <c r="D11941" t="inlineStr">
        <is>
          <t>JÖNKÖPINGS LÄN</t>
        </is>
      </c>
      <c r="E11941" t="inlineStr">
        <is>
          <t>VÄRNAMO</t>
        </is>
      </c>
      <c r="G11941" t="n">
        <v>0.8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4584-2025</t>
        </is>
      </c>
      <c r="B11942" s="1" t="n">
        <v>45687</v>
      </c>
      <c r="C11942" s="1" t="n">
        <v>45703</v>
      </c>
      <c r="D11942" t="inlineStr">
        <is>
          <t>JÖNKÖPINGS LÄN</t>
        </is>
      </c>
      <c r="E11942" t="inlineStr">
        <is>
          <t>VÄRNAMO</t>
        </is>
      </c>
      <c r="G11942" t="n">
        <v>1.1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4599-2025</t>
        </is>
      </c>
      <c r="B11943" s="1" t="n">
        <v>45687</v>
      </c>
      <c r="C11943" s="1" t="n">
        <v>45703</v>
      </c>
      <c r="D11943" t="inlineStr">
        <is>
          <t>JÖNKÖPINGS LÄN</t>
        </is>
      </c>
      <c r="E11943" t="inlineStr">
        <is>
          <t>GISLAVED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4631-2025</t>
        </is>
      </c>
      <c r="B11944" s="1" t="n">
        <v>45687</v>
      </c>
      <c r="C11944" s="1" t="n">
        <v>45703</v>
      </c>
      <c r="D11944" t="inlineStr">
        <is>
          <t>JÖNKÖPINGS LÄN</t>
        </is>
      </c>
      <c r="E11944" t="inlineStr">
        <is>
          <t>GISLAVED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4621-2025</t>
        </is>
      </c>
      <c r="B11945" s="1" t="n">
        <v>45687</v>
      </c>
      <c r="C11945" s="1" t="n">
        <v>45703</v>
      </c>
      <c r="D11945" t="inlineStr">
        <is>
          <t>JÖNKÖPINGS LÄN</t>
        </is>
      </c>
      <c r="E11945" t="inlineStr">
        <is>
          <t>GISLAVED</t>
        </is>
      </c>
      <c r="G11945" t="n">
        <v>1.9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4625-2025</t>
        </is>
      </c>
      <c r="B11946" s="1" t="n">
        <v>45687</v>
      </c>
      <c r="C11946" s="1" t="n">
        <v>45703</v>
      </c>
      <c r="D11946" t="inlineStr">
        <is>
          <t>JÖNKÖPINGS LÄN</t>
        </is>
      </c>
      <c r="E11946" t="inlineStr">
        <is>
          <t>GISLAVED</t>
        </is>
      </c>
      <c r="G11946" t="n">
        <v>2.1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4629-2025</t>
        </is>
      </c>
      <c r="B11947" s="1" t="n">
        <v>45687</v>
      </c>
      <c r="C11947" s="1" t="n">
        <v>45703</v>
      </c>
      <c r="D11947" t="inlineStr">
        <is>
          <t>JÖNKÖPINGS LÄN</t>
        </is>
      </c>
      <c r="E11947" t="inlineStr">
        <is>
          <t>SÄVSJÖ</t>
        </is>
      </c>
      <c r="G11947" t="n">
        <v>3.4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4665-2025</t>
        </is>
      </c>
      <c r="B11948" s="1" t="n">
        <v>45687</v>
      </c>
      <c r="C11948" s="1" t="n">
        <v>45703</v>
      </c>
      <c r="D11948" t="inlineStr">
        <is>
          <t>JÖNKÖPINGS LÄN</t>
        </is>
      </c>
      <c r="E11948" t="inlineStr">
        <is>
          <t>JÖNKÖPING</t>
        </is>
      </c>
      <c r="G11948" t="n">
        <v>1.4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4652-2025</t>
        </is>
      </c>
      <c r="B11949" s="1" t="n">
        <v>45687</v>
      </c>
      <c r="C11949" s="1" t="n">
        <v>45703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4663-2025</t>
        </is>
      </c>
      <c r="B11950" s="1" t="n">
        <v>45687</v>
      </c>
      <c r="C11950" s="1" t="n">
        <v>45703</v>
      </c>
      <c r="D11950" t="inlineStr">
        <is>
          <t>JÖNKÖPINGS LÄN</t>
        </is>
      </c>
      <c r="E11950" t="inlineStr">
        <is>
          <t>JÖNKÖPING</t>
        </is>
      </c>
      <c r="G11950" t="n">
        <v>5.1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4667-2025</t>
        </is>
      </c>
      <c r="B11951" s="1" t="n">
        <v>45687</v>
      </c>
      <c r="C11951" s="1" t="n">
        <v>45703</v>
      </c>
      <c r="D11951" t="inlineStr">
        <is>
          <t>JÖNKÖPINGS LÄN</t>
        </is>
      </c>
      <c r="E11951" t="inlineStr">
        <is>
          <t>JÖNKÖPING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45703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4741-2025</t>
        </is>
      </c>
      <c r="B11953" s="1" t="n">
        <v>45688</v>
      </c>
      <c r="C11953" s="1" t="n">
        <v>45703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4745-2025</t>
        </is>
      </c>
      <c r="B11954" s="1" t="n">
        <v>45688</v>
      </c>
      <c r="C11954" s="1" t="n">
        <v>45703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4826-2025</t>
        </is>
      </c>
      <c r="B11955" s="1" t="n">
        <v>45688</v>
      </c>
      <c r="C11955" s="1" t="n">
        <v>45703</v>
      </c>
      <c r="D11955" t="inlineStr">
        <is>
          <t>JÖNKÖPINGS LÄN</t>
        </is>
      </c>
      <c r="E11955" t="inlineStr">
        <is>
          <t>ANEBY</t>
        </is>
      </c>
      <c r="G11955" t="n">
        <v>4.1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45703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45703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4949-2025</t>
        </is>
      </c>
      <c r="B11958" s="1" t="n">
        <v>45689</v>
      </c>
      <c r="C11958" s="1" t="n">
        <v>45703</v>
      </c>
      <c r="D11958" t="inlineStr">
        <is>
          <t>JÖNKÖPINGS LÄN</t>
        </is>
      </c>
      <c r="E11958" t="inlineStr">
        <is>
          <t>NÄSSJÖ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4957-2025</t>
        </is>
      </c>
      <c r="B11959" s="1" t="n">
        <v>45689</v>
      </c>
      <c r="C11959" s="1" t="n">
        <v>45703</v>
      </c>
      <c r="D11959" t="inlineStr">
        <is>
          <t>JÖNKÖPINGS LÄN</t>
        </is>
      </c>
      <c r="E11959" t="inlineStr">
        <is>
          <t>HABO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4948-2025</t>
        </is>
      </c>
      <c r="B11960" s="1" t="n">
        <v>45689</v>
      </c>
      <c r="C11960" s="1" t="n">
        <v>45703</v>
      </c>
      <c r="D11960" t="inlineStr">
        <is>
          <t>JÖNKÖPINGS LÄN</t>
        </is>
      </c>
      <c r="E11960" t="inlineStr">
        <is>
          <t>NÄSSJÖ</t>
        </is>
      </c>
      <c r="G11960" t="n">
        <v>0.7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4986-2025</t>
        </is>
      </c>
      <c r="B11961" s="1" t="n">
        <v>45691</v>
      </c>
      <c r="C11961" s="1" t="n">
        <v>45703</v>
      </c>
      <c r="D11961" t="inlineStr">
        <is>
          <t>JÖNKÖPINGS LÄN</t>
        </is>
      </c>
      <c r="E11961" t="inlineStr">
        <is>
          <t>ANEBY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4988-2025</t>
        </is>
      </c>
      <c r="B11962" s="1" t="n">
        <v>45691</v>
      </c>
      <c r="C11962" s="1" t="n">
        <v>45703</v>
      </c>
      <c r="D11962" t="inlineStr">
        <is>
          <t>JÖNKÖPINGS LÄN</t>
        </is>
      </c>
      <c r="E11962" t="inlineStr">
        <is>
          <t>ANEBY</t>
        </is>
      </c>
      <c r="G11962" t="n">
        <v>3.7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5041-2025</t>
        </is>
      </c>
      <c r="B11963" s="1" t="n">
        <v>45691</v>
      </c>
      <c r="C11963" s="1" t="n">
        <v>45703</v>
      </c>
      <c r="D11963" t="inlineStr">
        <is>
          <t>JÖNKÖPINGS LÄN</t>
        </is>
      </c>
      <c r="E11963" t="inlineStr">
        <is>
          <t>VETLANDA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5182-2025</t>
        </is>
      </c>
      <c r="B11964" s="1" t="n">
        <v>45691</v>
      </c>
      <c r="C11964" s="1" t="n">
        <v>45703</v>
      </c>
      <c r="D11964" t="inlineStr">
        <is>
          <t>JÖNKÖPINGS LÄN</t>
        </is>
      </c>
      <c r="E11964" t="inlineStr">
        <is>
          <t>SÄVSJÖ</t>
        </is>
      </c>
      <c r="G11964" t="n">
        <v>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5150-2025</t>
        </is>
      </c>
      <c r="B11965" s="1" t="n">
        <v>45691</v>
      </c>
      <c r="C11965" s="1" t="n">
        <v>45703</v>
      </c>
      <c r="D11965" t="inlineStr">
        <is>
          <t>JÖNKÖPINGS LÄN</t>
        </is>
      </c>
      <c r="E11965" t="inlineStr">
        <is>
          <t>VETLANDA</t>
        </is>
      </c>
      <c r="G11965" t="n">
        <v>2.4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5123-2025</t>
        </is>
      </c>
      <c r="B11966" s="1" t="n">
        <v>45691</v>
      </c>
      <c r="C11966" s="1" t="n">
        <v>45703</v>
      </c>
      <c r="D11966" t="inlineStr">
        <is>
          <t>JÖNKÖPINGS LÄN</t>
        </is>
      </c>
      <c r="E11966" t="inlineStr">
        <is>
          <t>JÖNKÖPING</t>
        </is>
      </c>
      <c r="G11966" t="n">
        <v>4.9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5163-2025</t>
        </is>
      </c>
      <c r="B11967" s="1" t="n">
        <v>45691</v>
      </c>
      <c r="C11967" s="1" t="n">
        <v>45703</v>
      </c>
      <c r="D11967" t="inlineStr">
        <is>
          <t>JÖNKÖPINGS LÄN</t>
        </is>
      </c>
      <c r="E11967" t="inlineStr">
        <is>
          <t>VETLANDA</t>
        </is>
      </c>
      <c r="G11967" t="n">
        <v>0.3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45703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45703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45703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45703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5194-2025</t>
        </is>
      </c>
      <c r="B11972" s="1" t="n">
        <v>45691</v>
      </c>
      <c r="C11972" s="1" t="n">
        <v>45703</v>
      </c>
      <c r="D11972" t="inlineStr">
        <is>
          <t>JÖNKÖPINGS LÄN</t>
        </is>
      </c>
      <c r="E11972" t="inlineStr">
        <is>
          <t>VETLANDA</t>
        </is>
      </c>
      <c r="G11972" t="n">
        <v>3.7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5198-2025</t>
        </is>
      </c>
      <c r="B11973" s="1" t="n">
        <v>45691</v>
      </c>
      <c r="C11973" s="1" t="n">
        <v>45703</v>
      </c>
      <c r="D11973" t="inlineStr">
        <is>
          <t>JÖNKÖPINGS LÄN</t>
        </is>
      </c>
      <c r="E11973" t="inlineStr">
        <is>
          <t>VAGGERYD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5199-2025</t>
        </is>
      </c>
      <c r="B11974" s="1" t="n">
        <v>45691</v>
      </c>
      <c r="C11974" s="1" t="n">
        <v>45703</v>
      </c>
      <c r="D11974" t="inlineStr">
        <is>
          <t>JÖNKÖPINGS LÄN</t>
        </is>
      </c>
      <c r="E11974" t="inlineStr">
        <is>
          <t>VETLANDA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5066-2025</t>
        </is>
      </c>
      <c r="B11975" s="1" t="n">
        <v>45691</v>
      </c>
      <c r="C11975" s="1" t="n">
        <v>45703</v>
      </c>
      <c r="D11975" t="inlineStr">
        <is>
          <t>JÖNKÖPINGS LÄN</t>
        </is>
      </c>
      <c r="E11975" t="inlineStr">
        <is>
          <t>TRANÅS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5304-2025</t>
        </is>
      </c>
      <c r="B11976" s="1" t="n">
        <v>45692</v>
      </c>
      <c r="C11976" s="1" t="n">
        <v>45703</v>
      </c>
      <c r="D11976" t="inlineStr">
        <is>
          <t>JÖNKÖPINGS LÄN</t>
        </is>
      </c>
      <c r="E11976" t="inlineStr">
        <is>
          <t>SÄVSJÖ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5238-2025</t>
        </is>
      </c>
      <c r="B11977" s="1" t="n">
        <v>45692</v>
      </c>
      <c r="C11977" s="1" t="n">
        <v>45703</v>
      </c>
      <c r="D11977" t="inlineStr">
        <is>
          <t>JÖNKÖPINGS LÄN</t>
        </is>
      </c>
      <c r="E11977" t="inlineStr">
        <is>
          <t>EKSJÖ</t>
        </is>
      </c>
      <c r="G11977" t="n">
        <v>3.6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5297-2025</t>
        </is>
      </c>
      <c r="B11978" s="1" t="n">
        <v>45692</v>
      </c>
      <c r="C11978" s="1" t="n">
        <v>45703</v>
      </c>
      <c r="D11978" t="inlineStr">
        <is>
          <t>JÖNKÖPINGS LÄN</t>
        </is>
      </c>
      <c r="E11978" t="inlineStr">
        <is>
          <t>EKSJÖ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5305-2025</t>
        </is>
      </c>
      <c r="B11979" s="1" t="n">
        <v>45692</v>
      </c>
      <c r="C11979" s="1" t="n">
        <v>45703</v>
      </c>
      <c r="D11979" t="inlineStr">
        <is>
          <t>JÖNKÖPINGS LÄN</t>
        </is>
      </c>
      <c r="E11979" t="inlineStr">
        <is>
          <t>SÄVSJÖ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5427-2025</t>
        </is>
      </c>
      <c r="B11980" s="1" t="n">
        <v>45692</v>
      </c>
      <c r="C11980" s="1" t="n">
        <v>45703</v>
      </c>
      <c r="D11980" t="inlineStr">
        <is>
          <t>JÖNKÖPINGS LÄN</t>
        </is>
      </c>
      <c r="E11980" t="inlineStr">
        <is>
          <t>GISLAVED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5433-2025</t>
        </is>
      </c>
      <c r="B11981" s="1" t="n">
        <v>45692</v>
      </c>
      <c r="C11981" s="1" t="n">
        <v>45703</v>
      </c>
      <c r="D11981" t="inlineStr">
        <is>
          <t>JÖNKÖPINGS LÄN</t>
        </is>
      </c>
      <c r="E11981" t="inlineStr">
        <is>
          <t>NÄSSJÖ</t>
        </is>
      </c>
      <c r="G11981" t="n">
        <v>7.9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5266-2025</t>
        </is>
      </c>
      <c r="B11982" s="1" t="n">
        <v>45692</v>
      </c>
      <c r="C11982" s="1" t="n">
        <v>45703</v>
      </c>
      <c r="D11982" t="inlineStr">
        <is>
          <t>JÖNKÖPINGS LÄN</t>
        </is>
      </c>
      <c r="E11982" t="inlineStr">
        <is>
          <t>SÄVSJÖ</t>
        </is>
      </c>
      <c r="G11982" t="n">
        <v>3.5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5365-2025</t>
        </is>
      </c>
      <c r="B11983" s="1" t="n">
        <v>45692</v>
      </c>
      <c r="C11983" s="1" t="n">
        <v>45703</v>
      </c>
      <c r="D11983" t="inlineStr">
        <is>
          <t>JÖNKÖPINGS LÄN</t>
        </is>
      </c>
      <c r="E11983" t="inlineStr">
        <is>
          <t>VETLANDA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45703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45703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45703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45703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5379-2025</t>
        </is>
      </c>
      <c r="B11988" s="1" t="n">
        <v>45692</v>
      </c>
      <c r="C11988" s="1" t="n">
        <v>45703</v>
      </c>
      <c r="D11988" t="inlineStr">
        <is>
          <t>JÖNKÖPINGS LÄN</t>
        </is>
      </c>
      <c r="E11988" t="inlineStr">
        <is>
          <t>VETLANDA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5396-2025</t>
        </is>
      </c>
      <c r="B11989" s="1" t="n">
        <v>45692</v>
      </c>
      <c r="C11989" s="1" t="n">
        <v>45703</v>
      </c>
      <c r="D11989" t="inlineStr">
        <is>
          <t>JÖNKÖPINGS LÄN</t>
        </is>
      </c>
      <c r="E11989" t="inlineStr">
        <is>
          <t>VETLANDA</t>
        </is>
      </c>
      <c r="G11989" t="n">
        <v>6.5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5400-2025</t>
        </is>
      </c>
      <c r="B11990" s="1" t="n">
        <v>45692</v>
      </c>
      <c r="C11990" s="1" t="n">
        <v>45703</v>
      </c>
      <c r="D11990" t="inlineStr">
        <is>
          <t>JÖNKÖPINGS LÄN</t>
        </is>
      </c>
      <c r="E11990" t="inlineStr">
        <is>
          <t>ANEBY</t>
        </is>
      </c>
      <c r="G11990" t="n">
        <v>3.1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5436-2025</t>
        </is>
      </c>
      <c r="B11991" s="1" t="n">
        <v>45692</v>
      </c>
      <c r="C11991" s="1" t="n">
        <v>45703</v>
      </c>
      <c r="D11991" t="inlineStr">
        <is>
          <t>JÖNKÖPINGS LÄN</t>
        </is>
      </c>
      <c r="E11991" t="inlineStr">
        <is>
          <t>VÄRNAMO</t>
        </is>
      </c>
      <c r="G11991" t="n">
        <v>4.8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5461-2025</t>
        </is>
      </c>
      <c r="B11992" s="1" t="n">
        <v>45693</v>
      </c>
      <c r="C11992" s="1" t="n">
        <v>45703</v>
      </c>
      <c r="D11992" t="inlineStr">
        <is>
          <t>JÖNKÖPINGS LÄN</t>
        </is>
      </c>
      <c r="E11992" t="inlineStr">
        <is>
          <t>NÄSSJÖ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5499-2025</t>
        </is>
      </c>
      <c r="B11993" s="1" t="n">
        <v>45693</v>
      </c>
      <c r="C11993" s="1" t="n">
        <v>45703</v>
      </c>
      <c r="D11993" t="inlineStr">
        <is>
          <t>JÖNKÖPINGS LÄN</t>
        </is>
      </c>
      <c r="E11993" t="inlineStr">
        <is>
          <t>VETLANDA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5574-2025</t>
        </is>
      </c>
      <c r="B11994" s="1" t="n">
        <v>45693</v>
      </c>
      <c r="C11994" s="1" t="n">
        <v>45703</v>
      </c>
      <c r="D11994" t="inlineStr">
        <is>
          <t>JÖNKÖPINGS LÄN</t>
        </is>
      </c>
      <c r="E11994" t="inlineStr">
        <is>
          <t>TRANÅS</t>
        </is>
      </c>
      <c r="F11994" t="inlineStr">
        <is>
          <t>Kommuner</t>
        </is>
      </c>
      <c r="G11994" t="n">
        <v>0.9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5616-2025</t>
        </is>
      </c>
      <c r="B11995" s="1" t="n">
        <v>45693</v>
      </c>
      <c r="C11995" s="1" t="n">
        <v>45703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45703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45703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5573-2025</t>
        </is>
      </c>
      <c r="B11998" s="1" t="n">
        <v>45693</v>
      </c>
      <c r="C11998" s="1" t="n">
        <v>45703</v>
      </c>
      <c r="D11998" t="inlineStr">
        <is>
          <t>JÖNKÖPINGS LÄN</t>
        </is>
      </c>
      <c r="E11998" t="inlineStr">
        <is>
          <t>NÄSSJÖ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5585-2025</t>
        </is>
      </c>
      <c r="B11999" s="1" t="n">
        <v>45693</v>
      </c>
      <c r="C11999" s="1" t="n">
        <v>45703</v>
      </c>
      <c r="D11999" t="inlineStr">
        <is>
          <t>JÖNKÖPINGS LÄN</t>
        </is>
      </c>
      <c r="E11999" t="inlineStr">
        <is>
          <t>JÖNKÖPING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45703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45703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5641-2025</t>
        </is>
      </c>
      <c r="B12002" s="1" t="n">
        <v>45693</v>
      </c>
      <c r="C12002" s="1" t="n">
        <v>45703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45703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5708-2025</t>
        </is>
      </c>
      <c r="B12004" s="1" t="n">
        <v>45694</v>
      </c>
      <c r="C12004" s="1" t="n">
        <v>45703</v>
      </c>
      <c r="D12004" t="inlineStr">
        <is>
          <t>JÖNKÖPINGS LÄN</t>
        </is>
      </c>
      <c r="E12004" t="inlineStr">
        <is>
          <t>SÄVSJÖ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5724-2025</t>
        </is>
      </c>
      <c r="B12005" s="1" t="n">
        <v>45694</v>
      </c>
      <c r="C12005" s="1" t="n">
        <v>45703</v>
      </c>
      <c r="D12005" t="inlineStr">
        <is>
          <t>JÖNKÖPINGS LÄN</t>
        </is>
      </c>
      <c r="E12005" t="inlineStr">
        <is>
          <t>SÄVSJÖ</t>
        </is>
      </c>
      <c r="G12005" t="n">
        <v>9.800000000000001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45703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5707-2025</t>
        </is>
      </c>
      <c r="B12007" s="1" t="n">
        <v>45694</v>
      </c>
      <c r="C12007" s="1" t="n">
        <v>45703</v>
      </c>
      <c r="D12007" t="inlineStr">
        <is>
          <t>JÖNKÖPINGS LÄN</t>
        </is>
      </c>
      <c r="E12007" t="inlineStr">
        <is>
          <t>VAGGERYD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5744-2025</t>
        </is>
      </c>
      <c r="B12008" s="1" t="n">
        <v>45694</v>
      </c>
      <c r="C12008" s="1" t="n">
        <v>45703</v>
      </c>
      <c r="D12008" t="inlineStr">
        <is>
          <t>JÖNKÖPINGS LÄN</t>
        </is>
      </c>
      <c r="E12008" t="inlineStr">
        <is>
          <t>NÄSSJÖ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45703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5803-2025</t>
        </is>
      </c>
      <c r="B12010" s="1" t="n">
        <v>45694</v>
      </c>
      <c r="C12010" s="1" t="n">
        <v>45703</v>
      </c>
      <c r="D12010" t="inlineStr">
        <is>
          <t>JÖNKÖPINGS LÄN</t>
        </is>
      </c>
      <c r="E12010" t="inlineStr">
        <is>
          <t>VAGGERYD</t>
        </is>
      </c>
      <c r="G12010" t="n">
        <v>7.3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5820-2025</t>
        </is>
      </c>
      <c r="B12011" s="1" t="n">
        <v>45694</v>
      </c>
      <c r="C12011" s="1" t="n">
        <v>45703</v>
      </c>
      <c r="D12011" t="inlineStr">
        <is>
          <t>JÖNKÖPINGS LÄN</t>
        </is>
      </c>
      <c r="E12011" t="inlineStr">
        <is>
          <t>GNOSJÖ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5832-2025</t>
        </is>
      </c>
      <c r="B12012" s="1" t="n">
        <v>45694</v>
      </c>
      <c r="C12012" s="1" t="n">
        <v>45703</v>
      </c>
      <c r="D12012" t="inlineStr">
        <is>
          <t>JÖNKÖPINGS LÄN</t>
        </is>
      </c>
      <c r="E12012" t="inlineStr">
        <is>
          <t>MULLSJÖ</t>
        </is>
      </c>
      <c r="G12012" t="n">
        <v>3.6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5746-2025</t>
        </is>
      </c>
      <c r="B12013" s="1" t="n">
        <v>45694</v>
      </c>
      <c r="C12013" s="1" t="n">
        <v>45703</v>
      </c>
      <c r="D12013" t="inlineStr">
        <is>
          <t>JÖNKÖPINGS LÄN</t>
        </is>
      </c>
      <c r="E12013" t="inlineStr">
        <is>
          <t>NÄSSJÖ</t>
        </is>
      </c>
      <c r="G12013" t="n">
        <v>2.6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5821-2025</t>
        </is>
      </c>
      <c r="B12014" s="1" t="n">
        <v>45694</v>
      </c>
      <c r="C12014" s="1" t="n">
        <v>45703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5801-2025</t>
        </is>
      </c>
      <c r="B12015" s="1" t="n">
        <v>45694</v>
      </c>
      <c r="C12015" s="1" t="n">
        <v>45703</v>
      </c>
      <c r="D12015" t="inlineStr">
        <is>
          <t>JÖNKÖPINGS LÄN</t>
        </is>
      </c>
      <c r="E12015" t="inlineStr">
        <is>
          <t>NÄSSJÖ</t>
        </is>
      </c>
      <c r="G12015" t="n">
        <v>5.6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5875-2025</t>
        </is>
      </c>
      <c r="B12016" s="1" t="n">
        <v>45695</v>
      </c>
      <c r="C12016" s="1" t="n">
        <v>45703</v>
      </c>
      <c r="D12016" t="inlineStr">
        <is>
          <t>JÖNKÖPINGS LÄN</t>
        </is>
      </c>
      <c r="E12016" t="inlineStr">
        <is>
          <t>SÄVSJÖ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6033-2025</t>
        </is>
      </c>
      <c r="B12017" s="1" t="n">
        <v>45695</v>
      </c>
      <c r="C12017" s="1" t="n">
        <v>45703</v>
      </c>
      <c r="D12017" t="inlineStr">
        <is>
          <t>JÖNKÖPINGS LÄN</t>
        </is>
      </c>
      <c r="E12017" t="inlineStr">
        <is>
          <t>EKSJÖ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45703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5970-2025</t>
        </is>
      </c>
      <c r="B12019" s="1" t="n">
        <v>45695</v>
      </c>
      <c r="C12019" s="1" t="n">
        <v>45703</v>
      </c>
      <c r="D12019" t="inlineStr">
        <is>
          <t>JÖNKÖPINGS LÄN</t>
        </is>
      </c>
      <c r="E12019" t="inlineStr">
        <is>
          <t>NÄSSJÖ</t>
        </is>
      </c>
      <c r="G12019" t="n">
        <v>0.3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45703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6069-2025</t>
        </is>
      </c>
      <c r="B12021" s="1" t="n">
        <v>45696</v>
      </c>
      <c r="C12021" s="1" t="n">
        <v>45703</v>
      </c>
      <c r="D12021" t="inlineStr">
        <is>
          <t>JÖNKÖPINGS LÄN</t>
        </is>
      </c>
      <c r="E12021" t="inlineStr">
        <is>
          <t>HABO</t>
        </is>
      </c>
      <c r="G12021" t="n">
        <v>1.3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6104-2025</t>
        </is>
      </c>
      <c r="B12022" s="1" t="n">
        <v>45698</v>
      </c>
      <c r="C12022" s="1" t="n">
        <v>45703</v>
      </c>
      <c r="D12022" t="inlineStr">
        <is>
          <t>JÖNKÖPINGS LÄN</t>
        </is>
      </c>
      <c r="E12022" t="inlineStr">
        <is>
          <t>VAGGERYD</t>
        </is>
      </c>
      <c r="G12022" t="n">
        <v>5.6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6088-2025</t>
        </is>
      </c>
      <c r="B12023" s="1" t="n">
        <v>45697</v>
      </c>
      <c r="C12023" s="1" t="n">
        <v>45703</v>
      </c>
      <c r="D12023" t="inlineStr">
        <is>
          <t>JÖNKÖPINGS LÄN</t>
        </is>
      </c>
      <c r="E12023" t="inlineStr">
        <is>
          <t>GISLAVED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6077-2025</t>
        </is>
      </c>
      <c r="B12024" s="1" t="n">
        <v>45697</v>
      </c>
      <c r="C12024" s="1" t="n">
        <v>45703</v>
      </c>
      <c r="D12024" t="inlineStr">
        <is>
          <t>JÖNKÖPINGS LÄN</t>
        </is>
      </c>
      <c r="E12024" t="inlineStr">
        <is>
          <t>JÖNKÖPING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6105-2025</t>
        </is>
      </c>
      <c r="B12025" s="1" t="n">
        <v>45698</v>
      </c>
      <c r="C12025" s="1" t="n">
        <v>45703</v>
      </c>
      <c r="D12025" t="inlineStr">
        <is>
          <t>JÖNKÖPINGS LÄN</t>
        </is>
      </c>
      <c r="E12025" t="inlineStr">
        <is>
          <t>VAGGERYD</t>
        </is>
      </c>
      <c r="G12025" t="n">
        <v>0.9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6233-2025</t>
        </is>
      </c>
      <c r="B12026" s="1" t="n">
        <v>45698</v>
      </c>
      <c r="C12026" s="1" t="n">
        <v>45703</v>
      </c>
      <c r="D12026" t="inlineStr">
        <is>
          <t>JÖNKÖPINGS LÄN</t>
        </is>
      </c>
      <c r="E12026" t="inlineStr">
        <is>
          <t>HABO</t>
        </is>
      </c>
      <c r="G12026" t="n">
        <v>0.4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6155-2025</t>
        </is>
      </c>
      <c r="B12027" s="1" t="n">
        <v>45698</v>
      </c>
      <c r="C12027" s="1" t="n">
        <v>45703</v>
      </c>
      <c r="D12027" t="inlineStr">
        <is>
          <t>JÖNKÖPINGS LÄN</t>
        </is>
      </c>
      <c r="E12027" t="inlineStr">
        <is>
          <t>GISLAVED</t>
        </is>
      </c>
      <c r="G12027" t="n">
        <v>2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6226-2025</t>
        </is>
      </c>
      <c r="B12028" s="1" t="n">
        <v>45698</v>
      </c>
      <c r="C12028" s="1" t="n">
        <v>45703</v>
      </c>
      <c r="D12028" t="inlineStr">
        <is>
          <t>JÖNKÖPINGS LÄN</t>
        </is>
      </c>
      <c r="E12028" t="inlineStr">
        <is>
          <t>HABO</t>
        </is>
      </c>
      <c r="G12028" t="n">
        <v>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6305-2025</t>
        </is>
      </c>
      <c r="B12029" s="1" t="n">
        <v>45698</v>
      </c>
      <c r="C12029" s="1" t="n">
        <v>45703</v>
      </c>
      <c r="D12029" t="inlineStr">
        <is>
          <t>JÖNKÖPINGS LÄN</t>
        </is>
      </c>
      <c r="E12029" t="inlineStr">
        <is>
          <t>ANEBY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6229-2025</t>
        </is>
      </c>
      <c r="B12030" s="1" t="n">
        <v>45698</v>
      </c>
      <c r="C12030" s="1" t="n">
        <v>45703</v>
      </c>
      <c r="D12030" t="inlineStr">
        <is>
          <t>JÖNKÖPINGS LÄN</t>
        </is>
      </c>
      <c r="E12030" t="inlineStr">
        <is>
          <t>HABO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45703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6333-2025</t>
        </is>
      </c>
      <c r="B12032" s="1" t="n">
        <v>45698</v>
      </c>
      <c r="C12032" s="1" t="n">
        <v>45703</v>
      </c>
      <c r="D12032" t="inlineStr">
        <is>
          <t>JÖNKÖPINGS LÄN</t>
        </is>
      </c>
      <c r="E12032" t="inlineStr">
        <is>
          <t>SÄVSJÖ</t>
        </is>
      </c>
      <c r="G12032" t="n">
        <v>1.6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6201-2025</t>
        </is>
      </c>
      <c r="B12033" s="1" t="n">
        <v>45698</v>
      </c>
      <c r="C12033" s="1" t="n">
        <v>45703</v>
      </c>
      <c r="D12033" t="inlineStr">
        <is>
          <t>JÖNKÖPINGS LÄN</t>
        </is>
      </c>
      <c r="E12033" t="inlineStr">
        <is>
          <t>TRANÅS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6230-2025</t>
        </is>
      </c>
      <c r="B12034" s="1" t="n">
        <v>45698</v>
      </c>
      <c r="C12034" s="1" t="n">
        <v>45703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6332-2025</t>
        </is>
      </c>
      <c r="B12035" s="1" t="n">
        <v>45698</v>
      </c>
      <c r="C12035" s="1" t="n">
        <v>45703</v>
      </c>
      <c r="D12035" t="inlineStr">
        <is>
          <t>JÖNKÖPINGS LÄN</t>
        </is>
      </c>
      <c r="E12035" t="inlineStr">
        <is>
          <t>VETLANDA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6412-2025</t>
        </is>
      </c>
      <c r="B12036" s="1" t="n">
        <v>45699</v>
      </c>
      <c r="C12036" s="1" t="n">
        <v>45703</v>
      </c>
      <c r="D12036" t="inlineStr">
        <is>
          <t>JÖNKÖPINGS LÄN</t>
        </is>
      </c>
      <c r="E12036" t="inlineStr">
        <is>
          <t>GISLAVED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6433-2025</t>
        </is>
      </c>
      <c r="B12037" s="1" t="n">
        <v>45699</v>
      </c>
      <c r="C12037" s="1" t="n">
        <v>45703</v>
      </c>
      <c r="D12037" t="inlineStr">
        <is>
          <t>JÖNKÖPINGS LÄN</t>
        </is>
      </c>
      <c r="E12037" t="inlineStr">
        <is>
          <t>VETLANDA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6545-2025</t>
        </is>
      </c>
      <c r="B12038" s="1" t="n">
        <v>45699</v>
      </c>
      <c r="C12038" s="1" t="n">
        <v>45703</v>
      </c>
      <c r="D12038" t="inlineStr">
        <is>
          <t>JÖNKÖPINGS LÄN</t>
        </is>
      </c>
      <c r="E12038" t="inlineStr">
        <is>
          <t>GISLAVED</t>
        </is>
      </c>
      <c r="G12038" t="n">
        <v>2.8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6391-2025</t>
        </is>
      </c>
      <c r="B12039" s="1" t="n">
        <v>45699</v>
      </c>
      <c r="C12039" s="1" t="n">
        <v>45703</v>
      </c>
      <c r="D12039" t="inlineStr">
        <is>
          <t>JÖNKÖPINGS LÄN</t>
        </is>
      </c>
      <c r="E12039" t="inlineStr">
        <is>
          <t>GISLAVED</t>
        </is>
      </c>
      <c r="G12039" t="n">
        <v>9.4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6395-2025</t>
        </is>
      </c>
      <c r="B12040" s="1" t="n">
        <v>45699</v>
      </c>
      <c r="C12040" s="1" t="n">
        <v>45703</v>
      </c>
      <c r="D12040" t="inlineStr">
        <is>
          <t>JÖNKÖPINGS LÄN</t>
        </is>
      </c>
      <c r="E12040" t="inlineStr">
        <is>
          <t>GISLAVED</t>
        </is>
      </c>
      <c r="G12040" t="n">
        <v>1.6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6407-2025</t>
        </is>
      </c>
      <c r="B12041" s="1" t="n">
        <v>45699</v>
      </c>
      <c r="C12041" s="1" t="n">
        <v>45703</v>
      </c>
      <c r="D12041" t="inlineStr">
        <is>
          <t>JÖNKÖPINGS LÄN</t>
        </is>
      </c>
      <c r="E12041" t="inlineStr">
        <is>
          <t>GISLAVED</t>
        </is>
      </c>
      <c r="G12041" t="n">
        <v>3.9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6415-2025</t>
        </is>
      </c>
      <c r="B12042" s="1" t="n">
        <v>45699</v>
      </c>
      <c r="C12042" s="1" t="n">
        <v>45703</v>
      </c>
      <c r="D12042" t="inlineStr">
        <is>
          <t>JÖNKÖPINGS LÄN</t>
        </is>
      </c>
      <c r="E12042" t="inlineStr">
        <is>
          <t>GNOSJÖ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6538-2025</t>
        </is>
      </c>
      <c r="B12043" s="1" t="n">
        <v>45699</v>
      </c>
      <c r="C12043" s="1" t="n">
        <v>45703</v>
      </c>
      <c r="D12043" t="inlineStr">
        <is>
          <t>JÖNKÖPINGS LÄN</t>
        </is>
      </c>
      <c r="E12043" t="inlineStr">
        <is>
          <t>GNOSJÖ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6546-2025</t>
        </is>
      </c>
      <c r="B12044" s="1" t="n">
        <v>45699</v>
      </c>
      <c r="C12044" s="1" t="n">
        <v>45703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6555-2025</t>
        </is>
      </c>
      <c r="B12045" s="1" t="n">
        <v>45699</v>
      </c>
      <c r="C12045" s="1" t="n">
        <v>45703</v>
      </c>
      <c r="D12045" t="inlineStr">
        <is>
          <t>JÖNKÖPINGS LÄN</t>
        </is>
      </c>
      <c r="E12045" t="inlineStr">
        <is>
          <t>VÄRNAMO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6575-2025</t>
        </is>
      </c>
      <c r="B12046" s="1" t="n">
        <v>45699</v>
      </c>
      <c r="C12046" s="1" t="n">
        <v>45703</v>
      </c>
      <c r="D12046" t="inlineStr">
        <is>
          <t>JÖNKÖPINGS LÄN</t>
        </is>
      </c>
      <c r="E12046" t="inlineStr">
        <is>
          <t>VÄRNAMO</t>
        </is>
      </c>
      <c r="G12046" t="n">
        <v>6.4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6570-2025</t>
        </is>
      </c>
      <c r="B12047" s="1" t="n">
        <v>45699</v>
      </c>
      <c r="C12047" s="1" t="n">
        <v>45703</v>
      </c>
      <c r="D12047" t="inlineStr">
        <is>
          <t>JÖNKÖPINGS LÄN</t>
        </is>
      </c>
      <c r="E12047" t="inlineStr">
        <is>
          <t>SÄVSJÖ</t>
        </is>
      </c>
      <c r="G12047" t="n">
        <v>2.9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6582-2025</t>
        </is>
      </c>
      <c r="B12048" s="1" t="n">
        <v>45700</v>
      </c>
      <c r="C12048" s="1" t="n">
        <v>45703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6372-2025</t>
        </is>
      </c>
      <c r="B12049" s="1" t="n">
        <v>45699</v>
      </c>
      <c r="C12049" s="1" t="n">
        <v>45703</v>
      </c>
      <c r="D12049" t="inlineStr">
        <is>
          <t>JÖNKÖPINGS LÄN</t>
        </is>
      </c>
      <c r="E12049" t="inlineStr">
        <is>
          <t>VETLANDA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6586-2025</t>
        </is>
      </c>
      <c r="B12050" s="1" t="n">
        <v>45700</v>
      </c>
      <c r="C12050" s="1" t="n">
        <v>45703</v>
      </c>
      <c r="D12050" t="inlineStr">
        <is>
          <t>JÖNKÖPINGS LÄN</t>
        </is>
      </c>
      <c r="E12050" t="inlineStr">
        <is>
          <t>GNOSJÖ</t>
        </is>
      </c>
      <c r="F12050" t="inlineStr">
        <is>
          <t>Övriga Aktiebolag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6631-2025</t>
        </is>
      </c>
      <c r="B12051" s="1" t="n">
        <v>45700</v>
      </c>
      <c r="C12051" s="1" t="n">
        <v>45703</v>
      </c>
      <c r="D12051" t="inlineStr">
        <is>
          <t>JÖNKÖPINGS LÄN</t>
        </is>
      </c>
      <c r="E12051" t="inlineStr">
        <is>
          <t>HABO</t>
        </is>
      </c>
      <c r="G12051" t="n">
        <v>0.9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6747-2025</t>
        </is>
      </c>
      <c r="B12052" s="1" t="n">
        <v>45700</v>
      </c>
      <c r="C12052" s="1" t="n">
        <v>45703</v>
      </c>
      <c r="D12052" t="inlineStr">
        <is>
          <t>JÖNKÖPINGS LÄN</t>
        </is>
      </c>
      <c r="E12052" t="inlineStr">
        <is>
          <t>GNOSJÖ</t>
        </is>
      </c>
      <c r="G12052" t="n">
        <v>0.5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6584-2025</t>
        </is>
      </c>
      <c r="B12053" s="1" t="n">
        <v>45700</v>
      </c>
      <c r="C12053" s="1" t="n">
        <v>45703</v>
      </c>
      <c r="D12053" t="inlineStr">
        <is>
          <t>JÖNKÖPINGS LÄN</t>
        </is>
      </c>
      <c r="E12053" t="inlineStr">
        <is>
          <t>VETLANDA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6588-2025</t>
        </is>
      </c>
      <c r="B12054" s="1" t="n">
        <v>45700</v>
      </c>
      <c r="C12054" s="1" t="n">
        <v>45703</v>
      </c>
      <c r="D12054" t="inlineStr">
        <is>
          <t>JÖNKÖPINGS LÄN</t>
        </is>
      </c>
      <c r="E12054" t="inlineStr">
        <is>
          <t>VETLANDA</t>
        </is>
      </c>
      <c r="G12054" t="n">
        <v>3.5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6763-2025</t>
        </is>
      </c>
      <c r="B12055" s="1" t="n">
        <v>45700</v>
      </c>
      <c r="C12055" s="1" t="n">
        <v>45703</v>
      </c>
      <c r="D12055" t="inlineStr">
        <is>
          <t>JÖNKÖPINGS LÄN</t>
        </is>
      </c>
      <c r="E12055" t="inlineStr">
        <is>
          <t>GNOSJÖ</t>
        </is>
      </c>
      <c r="G12055" t="n">
        <v>1.6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6587-2025</t>
        </is>
      </c>
      <c r="B12056" s="1" t="n">
        <v>45700</v>
      </c>
      <c r="C12056" s="1" t="n">
        <v>45703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1.7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6741-2025</t>
        </is>
      </c>
      <c r="B12057" s="1" t="n">
        <v>45700</v>
      </c>
      <c r="C12057" s="1" t="n">
        <v>45703</v>
      </c>
      <c r="D12057" t="inlineStr">
        <is>
          <t>JÖNKÖPINGS LÄN</t>
        </is>
      </c>
      <c r="E12057" t="inlineStr">
        <is>
          <t>JÖNKÖPING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6785-2025</t>
        </is>
      </c>
      <c r="B12058" s="1" t="n">
        <v>45700</v>
      </c>
      <c r="C12058" s="1" t="n">
        <v>45703</v>
      </c>
      <c r="D12058" t="inlineStr">
        <is>
          <t>JÖNKÖPINGS LÄN</t>
        </is>
      </c>
      <c r="E12058" t="inlineStr">
        <is>
          <t>GNOSJÖ</t>
        </is>
      </c>
      <c r="G12058" t="n">
        <v>0.5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6789-2025</t>
        </is>
      </c>
      <c r="B12059" s="1" t="n">
        <v>45700</v>
      </c>
      <c r="C12059" s="1" t="n">
        <v>45703</v>
      </c>
      <c r="D12059" t="inlineStr">
        <is>
          <t>JÖNKÖPINGS LÄN</t>
        </is>
      </c>
      <c r="E12059" t="inlineStr">
        <is>
          <t>GNOSJÖ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6793-2025</t>
        </is>
      </c>
      <c r="B12060" s="1" t="n">
        <v>45700</v>
      </c>
      <c r="C12060" s="1" t="n">
        <v>45703</v>
      </c>
      <c r="D12060" t="inlineStr">
        <is>
          <t>JÖNKÖPINGS LÄN</t>
        </is>
      </c>
      <c r="E12060" t="inlineStr">
        <is>
          <t>GNOSJÖ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6682-2025</t>
        </is>
      </c>
      <c r="B12061" s="1" t="n">
        <v>45700</v>
      </c>
      <c r="C12061" s="1" t="n">
        <v>45703</v>
      </c>
      <c r="D12061" t="inlineStr">
        <is>
          <t>JÖNKÖPINGS LÄN</t>
        </is>
      </c>
      <c r="E12061" t="inlineStr">
        <is>
          <t>GISLAVED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6658-2025</t>
        </is>
      </c>
      <c r="B12062" s="1" t="n">
        <v>45700</v>
      </c>
      <c r="C12062" s="1" t="n">
        <v>45703</v>
      </c>
      <c r="D12062" t="inlineStr">
        <is>
          <t>JÖNKÖPINGS LÄN</t>
        </is>
      </c>
      <c r="E12062" t="inlineStr">
        <is>
          <t>VAGGERYD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6710-2025</t>
        </is>
      </c>
      <c r="B12063" s="1" t="n">
        <v>45700</v>
      </c>
      <c r="C12063" s="1" t="n">
        <v>45703</v>
      </c>
      <c r="D12063" t="inlineStr">
        <is>
          <t>JÖNKÖPINGS LÄN</t>
        </is>
      </c>
      <c r="E12063" t="inlineStr">
        <is>
          <t>VÄRNAMO</t>
        </is>
      </c>
      <c r="G12063" t="n">
        <v>2.6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6726-2025</t>
        </is>
      </c>
      <c r="B12064" s="1" t="n">
        <v>45700</v>
      </c>
      <c r="C12064" s="1" t="n">
        <v>45703</v>
      </c>
      <c r="D12064" t="inlineStr">
        <is>
          <t>JÖNKÖPINGS LÄN</t>
        </is>
      </c>
      <c r="E12064" t="inlineStr">
        <is>
          <t>NÄSSJÖ</t>
        </is>
      </c>
      <c r="G12064" t="n">
        <v>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45703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6860-2025</t>
        </is>
      </c>
      <c r="B12066" s="1" t="n">
        <v>45701</v>
      </c>
      <c r="C12066" s="1" t="n">
        <v>45703</v>
      </c>
      <c r="D12066" t="inlineStr">
        <is>
          <t>JÖNKÖPINGS LÄN</t>
        </is>
      </c>
      <c r="E12066" t="inlineStr">
        <is>
          <t>SÄVSJÖ</t>
        </is>
      </c>
      <c r="G12066" t="n">
        <v>5.4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6865-2025</t>
        </is>
      </c>
      <c r="B12067" s="1" t="n">
        <v>45701</v>
      </c>
      <c r="C12067" s="1" t="n">
        <v>45703</v>
      </c>
      <c r="D12067" t="inlineStr">
        <is>
          <t>JÖNKÖPINGS LÄN</t>
        </is>
      </c>
      <c r="E12067" t="inlineStr">
        <is>
          <t>JÖNKÖPING</t>
        </is>
      </c>
      <c r="G12067" t="n">
        <v>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6864-2025</t>
        </is>
      </c>
      <c r="B12068" s="1" t="n">
        <v>45701</v>
      </c>
      <c r="C12068" s="1" t="n">
        <v>45703</v>
      </c>
      <c r="D12068" t="inlineStr">
        <is>
          <t>JÖNKÖPINGS LÄN</t>
        </is>
      </c>
      <c r="E12068" t="inlineStr">
        <is>
          <t>VETLANDA</t>
        </is>
      </c>
      <c r="G12068" t="n">
        <v>4.8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6975-2025</t>
        </is>
      </c>
      <c r="B12069" s="1" t="n">
        <v>45701</v>
      </c>
      <c r="C12069" s="1" t="n">
        <v>45703</v>
      </c>
      <c r="D12069" t="inlineStr">
        <is>
          <t>JÖNKÖPINGS LÄN</t>
        </is>
      </c>
      <c r="E12069" t="inlineStr">
        <is>
          <t>GISLAVED</t>
        </is>
      </c>
      <c r="G12069" t="n">
        <v>2.6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6980-2025</t>
        </is>
      </c>
      <c r="B12070" s="1" t="n">
        <v>45701</v>
      </c>
      <c r="C12070" s="1" t="n">
        <v>45703</v>
      </c>
      <c r="D12070" t="inlineStr">
        <is>
          <t>JÖNKÖPINGS LÄN</t>
        </is>
      </c>
      <c r="E12070" t="inlineStr">
        <is>
          <t>VÄRNAMO</t>
        </is>
      </c>
      <c r="G12070" t="n">
        <v>1.2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7000-2025</t>
        </is>
      </c>
      <c r="B12071" s="1" t="n">
        <v>45701</v>
      </c>
      <c r="C12071" s="1" t="n">
        <v>45703</v>
      </c>
      <c r="D12071" t="inlineStr">
        <is>
          <t>JÖNKÖPINGS LÄN</t>
        </is>
      </c>
      <c r="E12071" t="inlineStr">
        <is>
          <t>VETLANDA</t>
        </is>
      </c>
      <c r="G12071" t="n">
        <v>0.6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6868-2025</t>
        </is>
      </c>
      <c r="B12072" s="1" t="n">
        <v>45701</v>
      </c>
      <c r="C12072" s="1" t="n">
        <v>45703</v>
      </c>
      <c r="D12072" t="inlineStr">
        <is>
          <t>JÖNKÖPINGS LÄN</t>
        </is>
      </c>
      <c r="E12072" t="inlineStr">
        <is>
          <t>VETLANDA</t>
        </is>
      </c>
      <c r="G12072" t="n">
        <v>2.2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7034-2025</t>
        </is>
      </c>
      <c r="B12073" s="1" t="n">
        <v>45701</v>
      </c>
      <c r="C12073" s="1" t="n">
        <v>45703</v>
      </c>
      <c r="D12073" t="inlineStr">
        <is>
          <t>JÖNKÖPINGS LÄN</t>
        </is>
      </c>
      <c r="E12073" t="inlineStr">
        <is>
          <t>VETLANDA</t>
        </is>
      </c>
      <c r="F12073" t="inlineStr">
        <is>
          <t>Sveaskog</t>
        </is>
      </c>
      <c r="G12073" t="n">
        <v>1.4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7033-2025</t>
        </is>
      </c>
      <c r="B12074" s="1" t="n">
        <v>45701</v>
      </c>
      <c r="C12074" s="1" t="n">
        <v>45703</v>
      </c>
      <c r="D12074" t="inlineStr">
        <is>
          <t>JÖNKÖPINGS LÄN</t>
        </is>
      </c>
      <c r="E12074" t="inlineStr">
        <is>
          <t>JÖNKÖPING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7041-2025</t>
        </is>
      </c>
      <c r="B12075" s="1" t="n">
        <v>45701</v>
      </c>
      <c r="C12075" s="1" t="n">
        <v>45703</v>
      </c>
      <c r="D12075" t="inlineStr">
        <is>
          <t>JÖNKÖPINGS LÄN</t>
        </is>
      </c>
      <c r="E12075" t="inlineStr">
        <is>
          <t>VETLANDA</t>
        </is>
      </c>
      <c r="F12075" t="inlineStr">
        <is>
          <t>Sveaskog</t>
        </is>
      </c>
      <c r="G12075" t="n">
        <v>3.1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7045-2025</t>
        </is>
      </c>
      <c r="B12076" s="1" t="n">
        <v>45701</v>
      </c>
      <c r="C12076" s="1" t="n">
        <v>45703</v>
      </c>
      <c r="D12076" t="inlineStr">
        <is>
          <t>JÖNKÖPINGS LÄN</t>
        </is>
      </c>
      <c r="E12076" t="inlineStr">
        <is>
          <t>JÖNKÖPING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7042-2025</t>
        </is>
      </c>
      <c r="B12077" s="1" t="n">
        <v>45701</v>
      </c>
      <c r="C12077" s="1" t="n">
        <v>45703</v>
      </c>
      <c r="D12077" t="inlineStr">
        <is>
          <t>JÖNKÖPINGS LÄN</t>
        </is>
      </c>
      <c r="E12077" t="inlineStr">
        <is>
          <t>GISLAVED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7070-2025</t>
        </is>
      </c>
      <c r="B12078" s="1" t="n">
        <v>45701</v>
      </c>
      <c r="C12078" s="1" t="n">
        <v>45703</v>
      </c>
      <c r="D12078" t="inlineStr">
        <is>
          <t>JÖNKÖPINGS LÄN</t>
        </is>
      </c>
      <c r="E12078" t="inlineStr">
        <is>
          <t>VÄRNAMO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6893-2025</t>
        </is>
      </c>
      <c r="B12079" s="1" t="n">
        <v>45701</v>
      </c>
      <c r="C12079" s="1" t="n">
        <v>45703</v>
      </c>
      <c r="D12079" t="inlineStr">
        <is>
          <t>JÖNKÖPINGS LÄN</t>
        </is>
      </c>
      <c r="E12079" t="inlineStr">
        <is>
          <t>JÖNKÖPING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6897-2025</t>
        </is>
      </c>
      <c r="B12080" s="1" t="n">
        <v>45701</v>
      </c>
      <c r="C12080" s="1" t="n">
        <v>45703</v>
      </c>
      <c r="D12080" t="inlineStr">
        <is>
          <t>JÖNKÖPINGS LÄN</t>
        </is>
      </c>
      <c r="E12080" t="inlineStr">
        <is>
          <t>JÖNKÖPING</t>
        </is>
      </c>
      <c r="G12080" t="n">
        <v>2.4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6925-2025</t>
        </is>
      </c>
      <c r="B12081" s="1" t="n">
        <v>45701</v>
      </c>
      <c r="C12081" s="1" t="n">
        <v>45703</v>
      </c>
      <c r="D12081" t="inlineStr">
        <is>
          <t>JÖNKÖPINGS LÄN</t>
        </is>
      </c>
      <c r="E12081" t="inlineStr">
        <is>
          <t>VAGGERYD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7044-2025</t>
        </is>
      </c>
      <c r="B12082" s="1" t="n">
        <v>45701</v>
      </c>
      <c r="C12082" s="1" t="n">
        <v>45703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45703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7067-2025</t>
        </is>
      </c>
      <c r="B12084" s="1" t="n">
        <v>45701</v>
      </c>
      <c r="C12084" s="1" t="n">
        <v>45703</v>
      </c>
      <c r="D12084" t="inlineStr">
        <is>
          <t>JÖNKÖPINGS LÄN</t>
        </is>
      </c>
      <c r="E12084" t="inlineStr">
        <is>
          <t>GISLAVED</t>
        </is>
      </c>
      <c r="G12084" t="n">
        <v>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45703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7113-2025</t>
        </is>
      </c>
      <c r="B12086" s="1" t="n">
        <v>45702</v>
      </c>
      <c r="C12086" s="1" t="n">
        <v>45703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0.3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7147-2025</t>
        </is>
      </c>
      <c r="B12087" s="1" t="n">
        <v>45702</v>
      </c>
      <c r="C12087" s="1" t="n">
        <v>45703</v>
      </c>
      <c r="D12087" t="inlineStr">
        <is>
          <t>JÖNKÖPINGS LÄN</t>
        </is>
      </c>
      <c r="E12087" t="inlineStr">
        <is>
          <t>NÄSSJÖ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7151-2025</t>
        </is>
      </c>
      <c r="B12088" s="1" t="n">
        <v>45702</v>
      </c>
      <c r="C12088" s="1" t="n">
        <v>45703</v>
      </c>
      <c r="D12088" t="inlineStr">
        <is>
          <t>JÖNKÖPINGS LÄN</t>
        </is>
      </c>
      <c r="E12088" t="inlineStr">
        <is>
          <t>NÄSSJÖ</t>
        </is>
      </c>
      <c r="G12088" t="n">
        <v>1.3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7167-2025</t>
        </is>
      </c>
      <c r="B12089" s="1" t="n">
        <v>45702</v>
      </c>
      <c r="C12089" s="1" t="n">
        <v>45703</v>
      </c>
      <c r="D12089" t="inlineStr">
        <is>
          <t>JÖNKÖPINGS LÄN</t>
        </is>
      </c>
      <c r="E12089" t="inlineStr">
        <is>
          <t>GISLAVED</t>
        </is>
      </c>
      <c r="F12089" t="inlineStr">
        <is>
          <t>Sveaskog</t>
        </is>
      </c>
      <c r="G12089" t="n">
        <v>1.1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7171-2025</t>
        </is>
      </c>
      <c r="B12090" s="1" t="n">
        <v>45702</v>
      </c>
      <c r="C12090" s="1" t="n">
        <v>45703</v>
      </c>
      <c r="D12090" t="inlineStr">
        <is>
          <t>JÖNKÖPINGS LÄN</t>
        </is>
      </c>
      <c r="E12090" t="inlineStr">
        <is>
          <t>GISLAVED</t>
        </is>
      </c>
      <c r="F12090" t="inlineStr">
        <is>
          <t>Sveaskog</t>
        </is>
      </c>
      <c r="G12090" t="n">
        <v>0.8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7180-2025</t>
        </is>
      </c>
      <c r="B12091" s="1" t="n">
        <v>45702</v>
      </c>
      <c r="C12091" s="1" t="n">
        <v>45703</v>
      </c>
      <c r="D12091" t="inlineStr">
        <is>
          <t>JÖNKÖPINGS LÄN</t>
        </is>
      </c>
      <c r="E12091" t="inlineStr">
        <is>
          <t>GISLAVED</t>
        </is>
      </c>
      <c r="F12091" t="inlineStr">
        <is>
          <t>Sveaskog</t>
        </is>
      </c>
      <c r="G12091" t="n">
        <v>1.2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7200-2025</t>
        </is>
      </c>
      <c r="B12092" s="1" t="n">
        <v>45702</v>
      </c>
      <c r="C12092" s="1" t="n">
        <v>45703</v>
      </c>
      <c r="D12092" t="inlineStr">
        <is>
          <t>JÖNKÖPINGS LÄN</t>
        </is>
      </c>
      <c r="E12092" t="inlineStr">
        <is>
          <t>VETLANDA</t>
        </is>
      </c>
      <c r="G12092" t="n">
        <v>2.1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7108-2025</t>
        </is>
      </c>
      <c r="B12093" s="1" t="n">
        <v>45702</v>
      </c>
      <c r="C12093" s="1" t="n">
        <v>45703</v>
      </c>
      <c r="D12093" t="inlineStr">
        <is>
          <t>JÖNKÖPINGS LÄN</t>
        </is>
      </c>
      <c r="E12093" t="inlineStr">
        <is>
          <t>GNOSJÖ</t>
        </is>
      </c>
      <c r="G12093" t="n">
        <v>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7158-2025</t>
        </is>
      </c>
      <c r="B12094" s="1" t="n">
        <v>45702</v>
      </c>
      <c r="C12094" s="1" t="n">
        <v>45703</v>
      </c>
      <c r="D12094" t="inlineStr">
        <is>
          <t>JÖNKÖPINGS LÄN</t>
        </is>
      </c>
      <c r="E12094" t="inlineStr">
        <is>
          <t>NÄSSJÖ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7186-2025</t>
        </is>
      </c>
      <c r="B12095" s="1" t="n">
        <v>45702</v>
      </c>
      <c r="C12095" s="1" t="n">
        <v>45703</v>
      </c>
      <c r="D12095" t="inlineStr">
        <is>
          <t>JÖNKÖPINGS LÄN</t>
        </is>
      </c>
      <c r="E12095" t="inlineStr">
        <is>
          <t>VETLANDA</t>
        </is>
      </c>
      <c r="G12095" t="n">
        <v>2.1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7278-2025</t>
        </is>
      </c>
      <c r="B12096" s="1" t="n">
        <v>45702</v>
      </c>
      <c r="C12096" s="1" t="n">
        <v>45703</v>
      </c>
      <c r="D12096" t="inlineStr">
        <is>
          <t>JÖNKÖPINGS LÄN</t>
        </is>
      </c>
      <c r="E12096" t="inlineStr">
        <is>
          <t>MULLSJÖ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45703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45703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45703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>
      <c r="A12100" t="inlineStr">
        <is>
          <t>A 7268-2025</t>
        </is>
      </c>
      <c r="B12100" s="1" t="n">
        <v>45702</v>
      </c>
      <c r="C12100" s="1" t="n">
        <v>45703</v>
      </c>
      <c r="D12100" t="inlineStr">
        <is>
          <t>JÖNKÖPINGS LÄN</t>
        </is>
      </c>
      <c r="E12100" t="inlineStr">
        <is>
          <t>MULLSJÖ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2025-02-15T16:16:49Z</dcterms:created>
  <dcterms:modified xmlns:dcterms="http://purl.org/dc/terms/" xmlns:xsi="http://www.w3.org/2001/XMLSchema-instance" xsi:type="dcterms:W3CDTF">2025-02-15T16:17:00Z</dcterms:modified>
</cp:coreProperties>
</file>